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NGB\Documents\CRS\Carbon model\"/>
    </mc:Choice>
  </mc:AlternateContent>
  <xr:revisionPtr revIDLastSave="0" documentId="13_ncr:1_{8283DE73-4D77-4BCF-91B7-D52BA431CE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enario Selector" sheetId="1" r:id="rId1"/>
    <sheet name="Scenario Comparison" sheetId="2" r:id="rId2"/>
    <sheet name="Payback Sensitivity" sheetId="3" r:id="rId3"/>
  </sheets>
  <definedNames>
    <definedName name="Air_Freight_Result_LU">#REF!</definedName>
    <definedName name="Air_Frieght_Unique_Names">#REF!</definedName>
    <definedName name="Alien">#REF!</definedName>
    <definedName name="Calcs_Lookup">#REF!</definedName>
    <definedName name="Calculations">#REF!</definedName>
    <definedName name="Category">#REF!</definedName>
    <definedName name="Chilled">#REF!</definedName>
    <definedName name="CO2perGJ_jet">#REF!</definedName>
    <definedName name="Cooking_Results_LU">#REF!</definedName>
    <definedName name="Cooking_Unique_Name">#REF!</definedName>
    <definedName name="DB_DG_Col2">#REF!</definedName>
    <definedName name="DB_DG_Start2">#REF!</definedName>
    <definedName name="DB_Lookup">#REF!</definedName>
    <definedName name="DomRefrig_Results_LU">#REF!</definedName>
    <definedName name="DomRefrig_Unique">#REF!</definedName>
    <definedName name="EF_custom">#REF!</definedName>
    <definedName name="Ef_for_km">#REF!</definedName>
    <definedName name="Ef_for_mile">#REF!</definedName>
    <definedName name="Eol_Qs_LU">#REF!</definedName>
    <definedName name="EOL_Region_LU">#REF!</definedName>
    <definedName name="EOL_Results_LU">#REF!</definedName>
    <definedName name="EOL_Unique">#REF!</definedName>
    <definedName name="EOL_Unique_Name">#REF!</definedName>
    <definedName name="EOL_Unique2">#REF!</definedName>
    <definedName name="EOL_Unique3">#REF!</definedName>
    <definedName name="Fleet_data">#REF!</definedName>
    <definedName name="Footprint_Unique_Name">#REF!</definedName>
    <definedName name="FPXC">#REF!</definedName>
    <definedName name="Frozen">#REF!</definedName>
    <definedName name="FX_DB_lookups">#REF!</definedName>
    <definedName name="fxdb">#REF!</definedName>
    <definedName name="get_dieselgperkm">#REF!</definedName>
    <definedName name="get_gasgperkm">#REF!</definedName>
    <definedName name="Gjperton_jet">#REF!</definedName>
    <definedName name="In2_Air">#REF!</definedName>
    <definedName name="In2_Air_total">#REF!</definedName>
    <definedName name="In2_Boat">#REF!</definedName>
    <definedName name="In2_Boat_total">#REF!</definedName>
    <definedName name="In2_Rail">#REF!</definedName>
    <definedName name="In2_Rail_total">#REF!</definedName>
    <definedName name="IN2_Road_total">#REF!</definedName>
    <definedName name="ISR_Pack_SHC_List_LU">#REF!</definedName>
    <definedName name="ISR_SHC_List_LU">#REF!</definedName>
    <definedName name="kmper_nm">#REF!</definedName>
    <definedName name="line_type">#REF!</definedName>
    <definedName name="Material_Definition">#REF!</definedName>
    <definedName name="Material_LU">#REF!</definedName>
    <definedName name="PD_Lookup">#REF!</definedName>
    <definedName name="PD_Name">#REF!</definedName>
    <definedName name="_xlnm.Print_Area" localSheetId="2">'Payback Sensitivity'!$A$5:$P$106</definedName>
    <definedName name="_xlnm.Print_Titles" localSheetId="2">'Payback Sensitivity'!$1:$4</definedName>
    <definedName name="Process_List">#REF!</definedName>
    <definedName name="Process_LU">#REF!</definedName>
    <definedName name="Rail_FC_Diesel">#REF!</definedName>
    <definedName name="Rail_Freight_Result_LU">#REF!</definedName>
    <definedName name="Rail_Frieght_Unique_Names">#REF!</definedName>
    <definedName name="Rail_type_DD">#REF!</definedName>
    <definedName name="Raw_Data_Unique">#REF!</definedName>
    <definedName name="Raw_data_unique_lu">#REF!</definedName>
    <definedName name="RDC_Results_LU">#REF!</definedName>
    <definedName name="RDC_Unique">#REF!</definedName>
    <definedName name="RDI_LU">#REF!</definedName>
    <definedName name="RDI_Name">#REF!</definedName>
    <definedName name="Recycling_Results_LU">#REF!</definedName>
    <definedName name="Recycling_Unique_Names">#REF!</definedName>
    <definedName name="RFC_Chill_Type_LU">#REF!</definedName>
    <definedName name="RFC_Pallet">#REF!</definedName>
    <definedName name="RFC_Pallet_Type_LU">#REF!</definedName>
    <definedName name="Road_Freight_Result_LU">#REF!</definedName>
    <definedName name="Road_Transport_Unique_Names">#REF!</definedName>
    <definedName name="Sea_FC_Chill_types_Lu">#REF!</definedName>
    <definedName name="Sea_FC_Containerised">#REF!</definedName>
    <definedName name="Sea_Freight_Result_LU">#REF!</definedName>
    <definedName name="Sea_Transport_Unique_Names">#REF!</definedName>
    <definedName name="Store_Results_Lu">#REF!</definedName>
    <definedName name="Store_Unique">#REF!</definedName>
    <definedName name="SUMM_AGROCHEM_MASTER_FILE">#REF!</definedName>
    <definedName name="Tree_use">#REF!</definedName>
    <definedName name="Treenames">#REF!</definedName>
    <definedName name="UDD_Lookup">#REF!</definedName>
    <definedName name="UDD_Names">#REF!</definedName>
    <definedName name="units">#REF!</definedName>
    <definedName name="Use_Process_List">#REF!</definedName>
    <definedName name="Use_Process_List_LU">#REF!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3" l="1"/>
  <c r="L93" i="3" s="1"/>
  <c r="M93" i="3" s="1"/>
  <c r="N93" i="3" s="1"/>
  <c r="O93" i="3" s="1"/>
  <c r="D85" i="3"/>
  <c r="I83" i="3" s="1"/>
  <c r="O83" i="3" s="1"/>
  <c r="D84" i="3"/>
  <c r="I88" i="3" s="1"/>
  <c r="D83" i="3"/>
  <c r="I82" i="3" s="1"/>
  <c r="D82" i="3"/>
  <c r="J78" i="3" s="1"/>
  <c r="D81" i="3"/>
  <c r="J77" i="3" s="1"/>
  <c r="D80" i="3"/>
  <c r="I87" i="3" s="1"/>
  <c r="A73" i="3"/>
  <c r="A106" i="3"/>
  <c r="F90" i="3"/>
  <c r="L83" i="3"/>
  <c r="L79" i="3"/>
  <c r="F79" i="3"/>
  <c r="L76" i="3" s="1"/>
  <c r="O77" i="3"/>
  <c r="L77" i="3"/>
  <c r="O43" i="3"/>
  <c r="L43" i="3"/>
  <c r="L9" i="3"/>
  <c r="O9" i="3"/>
  <c r="L59" i="3"/>
  <c r="M59" i="3" s="1"/>
  <c r="N59" i="3" s="1"/>
  <c r="O59" i="3" s="1"/>
  <c r="J59" i="3"/>
  <c r="I59" i="3" s="1"/>
  <c r="H59" i="3" s="1"/>
  <c r="D51" i="3"/>
  <c r="I49" i="3" s="1"/>
  <c r="D50" i="3"/>
  <c r="I54" i="3" s="1"/>
  <c r="D49" i="3"/>
  <c r="I48" i="3" s="1"/>
  <c r="J56" i="3" s="1"/>
  <c r="D48" i="3"/>
  <c r="J44" i="3" s="1"/>
  <c r="D47" i="3"/>
  <c r="J43" i="3" s="1"/>
  <c r="D46" i="3"/>
  <c r="I53" i="3" s="1"/>
  <c r="A39" i="3"/>
  <c r="A5" i="3"/>
  <c r="A72" i="3"/>
  <c r="F56" i="3"/>
  <c r="L49" i="3"/>
  <c r="L45" i="3"/>
  <c r="F45" i="3"/>
  <c r="L42" i="3" s="1"/>
  <c r="A38" i="3"/>
  <c r="D17" i="3"/>
  <c r="F11" i="3"/>
  <c r="L8" i="3" s="1"/>
  <c r="L11" i="3"/>
  <c r="J93" i="3" l="1"/>
  <c r="J84" i="3"/>
  <c r="P79" i="3" s="1"/>
  <c r="J89" i="3"/>
  <c r="J79" i="3"/>
  <c r="O76" i="3" s="1"/>
  <c r="P78" i="3" s="1"/>
  <c r="J90" i="3"/>
  <c r="J55" i="3"/>
  <c r="J57" i="3" s="1"/>
  <c r="J45" i="3"/>
  <c r="O42" i="3" s="1"/>
  <c r="P44" i="3" s="1"/>
  <c r="O49" i="3"/>
  <c r="J50" i="3"/>
  <c r="P45" i="3" s="1"/>
  <c r="L15" i="3"/>
  <c r="F22" i="3"/>
  <c r="D16" i="3"/>
  <c r="I20" i="3" s="1"/>
  <c r="D15" i="3"/>
  <c r="I14" i="3" s="1"/>
  <c r="D14" i="3"/>
  <c r="J10" i="3" s="1"/>
  <c r="D13" i="3"/>
  <c r="J9" i="3" s="1"/>
  <c r="D12" i="3"/>
  <c r="I19" i="3" s="1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14" i="1"/>
  <c r="D13" i="1"/>
  <c r="D12" i="1"/>
  <c r="F27" i="1" s="1"/>
  <c r="D11" i="1"/>
  <c r="D10" i="1"/>
  <c r="D9" i="1"/>
  <c r="D8" i="1"/>
  <c r="D7" i="1"/>
  <c r="D17" i="1" s="1"/>
  <c r="D6" i="1"/>
  <c r="I93" i="3" l="1"/>
  <c r="H93" i="3" s="1"/>
  <c r="P80" i="3"/>
  <c r="J91" i="3"/>
  <c r="P46" i="3"/>
  <c r="O50" i="3" s="1"/>
  <c r="O51" i="3" s="1"/>
  <c r="J11" i="3"/>
  <c r="O8" i="3" s="1"/>
  <c r="J21" i="3"/>
  <c r="I15" i="3"/>
  <c r="O15" i="3" s="1"/>
  <c r="J22" i="3"/>
  <c r="D11" i="2"/>
  <c r="D12" i="2" s="1"/>
  <c r="D15" i="2" s="1"/>
  <c r="E24" i="1"/>
  <c r="E25" i="1" s="1"/>
  <c r="E26" i="1" s="1"/>
  <c r="F24" i="1"/>
  <c r="D23" i="1"/>
  <c r="D44" i="1" s="1"/>
  <c r="B14" i="2"/>
  <c r="B24" i="2" s="1"/>
  <c r="C14" i="2"/>
  <c r="C24" i="2" s="1"/>
  <c r="D14" i="2"/>
  <c r="D23" i="2" s="1"/>
  <c r="F26" i="1"/>
  <c r="D16" i="1"/>
  <c r="B28" i="1"/>
  <c r="C28" i="1" s="1"/>
  <c r="D13" i="2"/>
  <c r="D22" i="2" s="1"/>
  <c r="B13" i="2"/>
  <c r="B22" i="2" s="1"/>
  <c r="C13" i="2"/>
  <c r="C22" i="2" s="1"/>
  <c r="B11" i="2"/>
  <c r="B12" i="2" s="1"/>
  <c r="C11" i="2"/>
  <c r="C12" i="2" s="1"/>
  <c r="F25" i="1"/>
  <c r="O84" i="3" l="1"/>
  <c r="O85" i="3" s="1"/>
  <c r="F93" i="3" s="1"/>
  <c r="F59" i="3"/>
  <c r="O54" i="3"/>
  <c r="P10" i="3"/>
  <c r="J16" i="3"/>
  <c r="P11" i="3" s="1"/>
  <c r="J23" i="3"/>
  <c r="D42" i="2"/>
  <c r="G24" i="1"/>
  <c r="H24" i="1" s="1"/>
  <c r="G25" i="1"/>
  <c r="H25" i="1" s="1"/>
  <c r="D33" i="2"/>
  <c r="C25" i="2"/>
  <c r="G23" i="1"/>
  <c r="H23" i="1" s="1"/>
  <c r="D24" i="2"/>
  <c r="D31" i="2"/>
  <c r="D26" i="2"/>
  <c r="D25" i="2"/>
  <c r="B23" i="2"/>
  <c r="D32" i="2"/>
  <c r="C26" i="2"/>
  <c r="C23" i="2"/>
  <c r="D35" i="2"/>
  <c r="D39" i="2"/>
  <c r="D28" i="2"/>
  <c r="B25" i="2"/>
  <c r="D36" i="2"/>
  <c r="D41" i="2"/>
  <c r="B26" i="2"/>
  <c r="D29" i="2"/>
  <c r="D27" i="2"/>
  <c r="D37" i="2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D30" i="2"/>
  <c r="D34" i="2"/>
  <c r="D38" i="2"/>
  <c r="C29" i="1"/>
  <c r="F28" i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E27" i="1"/>
  <c r="G26" i="1"/>
  <c r="H26" i="1" s="1"/>
  <c r="D40" i="2"/>
  <c r="B15" i="2"/>
  <c r="B40" i="2" s="1"/>
  <c r="C15" i="2"/>
  <c r="C27" i="2" s="1"/>
  <c r="I26" i="1" l="1"/>
  <c r="O88" i="3"/>
  <c r="P12" i="3"/>
  <c r="O16" i="3" s="1"/>
  <c r="O17" i="3" s="1"/>
  <c r="C41" i="2"/>
  <c r="C37" i="2"/>
  <c r="C33" i="2"/>
  <c r="B44" i="1"/>
  <c r="C28" i="2"/>
  <c r="C32" i="2"/>
  <c r="B41" i="2"/>
  <c r="B27" i="2"/>
  <c r="B31" i="2"/>
  <c r="B35" i="2"/>
  <c r="C31" i="2"/>
  <c r="B37" i="2"/>
  <c r="B33" i="2"/>
  <c r="B39" i="2"/>
  <c r="C35" i="2"/>
  <c r="D17" i="2"/>
  <c r="G27" i="1"/>
  <c r="H27" i="1" s="1"/>
  <c r="I27" i="1" s="1"/>
  <c r="E28" i="1"/>
  <c r="C36" i="2"/>
  <c r="C30" i="2"/>
  <c r="C40" i="2"/>
  <c r="C30" i="1"/>
  <c r="C34" i="2"/>
  <c r="C38" i="2"/>
  <c r="B29" i="2"/>
  <c r="C42" i="2"/>
  <c r="B30" i="2"/>
  <c r="B28" i="2"/>
  <c r="I25" i="1"/>
  <c r="I23" i="1"/>
  <c r="J23" i="1"/>
  <c r="J24" i="1" s="1"/>
  <c r="J25" i="1" s="1"/>
  <c r="J26" i="1" s="1"/>
  <c r="I24" i="1"/>
  <c r="C29" i="2"/>
  <c r="B34" i="2"/>
  <c r="B32" i="2"/>
  <c r="F44" i="1"/>
  <c r="C39" i="2"/>
  <c r="B38" i="2"/>
  <c r="B36" i="2"/>
  <c r="B42" i="2"/>
  <c r="B17" i="2" l="1"/>
  <c r="O20" i="3"/>
  <c r="F25" i="3"/>
  <c r="J27" i="1"/>
  <c r="C17" i="2"/>
  <c r="E29" i="1"/>
  <c r="G28" i="1"/>
  <c r="C31" i="1"/>
  <c r="C32" i="1" l="1"/>
  <c r="G29" i="1"/>
  <c r="H29" i="1" s="1"/>
  <c r="E30" i="1"/>
  <c r="H28" i="1"/>
  <c r="I28" i="1" l="1"/>
  <c r="J28" i="1"/>
  <c r="J29" i="1" s="1"/>
  <c r="I29" i="1"/>
  <c r="G30" i="1"/>
  <c r="H30" i="1" s="1"/>
  <c r="E31" i="1"/>
  <c r="C33" i="1"/>
  <c r="J30" i="1" l="1"/>
  <c r="C34" i="1"/>
  <c r="E32" i="1"/>
  <c r="G31" i="1"/>
  <c r="H31" i="1" s="1"/>
  <c r="I30" i="1"/>
  <c r="E33" i="1" l="1"/>
  <c r="G32" i="1"/>
  <c r="H32" i="1" s="1"/>
  <c r="C35" i="1"/>
  <c r="J31" i="1"/>
  <c r="I31" i="1"/>
  <c r="C36" i="1" l="1"/>
  <c r="G33" i="1"/>
  <c r="H33" i="1" s="1"/>
  <c r="I33" i="1" s="1"/>
  <c r="E34" i="1"/>
  <c r="I32" i="1"/>
  <c r="J32" i="1"/>
  <c r="J33" i="1" l="1"/>
  <c r="E35" i="1"/>
  <c r="G34" i="1"/>
  <c r="H34" i="1" s="1"/>
  <c r="C37" i="1"/>
  <c r="C38" i="1" l="1"/>
  <c r="I34" i="1"/>
  <c r="E36" i="1"/>
  <c r="G35" i="1"/>
  <c r="H35" i="1" s="1"/>
  <c r="I35" i="1" s="1"/>
  <c r="J34" i="1"/>
  <c r="J35" i="1" l="1"/>
  <c r="G36" i="1"/>
  <c r="H36" i="1" s="1"/>
  <c r="I36" i="1" s="1"/>
  <c r="E37" i="1"/>
  <c r="C39" i="1"/>
  <c r="C40" i="1" l="1"/>
  <c r="E38" i="1"/>
  <c r="G37" i="1"/>
  <c r="H37" i="1" s="1"/>
  <c r="I37" i="1" s="1"/>
  <c r="J36" i="1"/>
  <c r="J37" i="1" l="1"/>
  <c r="E39" i="1"/>
  <c r="G38" i="1"/>
  <c r="H38" i="1" s="1"/>
  <c r="I38" i="1" s="1"/>
  <c r="C41" i="1"/>
  <c r="J38" i="1" l="1"/>
  <c r="G39" i="1"/>
  <c r="H39" i="1" s="1"/>
  <c r="I39" i="1" s="1"/>
  <c r="E40" i="1"/>
  <c r="C42" i="1"/>
  <c r="J39" i="1" l="1"/>
  <c r="C43" i="1"/>
  <c r="E41" i="1"/>
  <c r="G40" i="1"/>
  <c r="H40" i="1" s="1"/>
  <c r="I40" i="1" s="1"/>
  <c r="G41" i="1" l="1"/>
  <c r="H41" i="1" s="1"/>
  <c r="I41" i="1" s="1"/>
  <c r="E42" i="1"/>
  <c r="C44" i="1"/>
  <c r="J40" i="1"/>
  <c r="J41" i="1" l="1"/>
  <c r="G42" i="1"/>
  <c r="H42" i="1" s="1"/>
  <c r="I42" i="1" s="1"/>
  <c r="E43" i="1"/>
  <c r="G43" i="1" l="1"/>
  <c r="E44" i="1"/>
  <c r="J42" i="1"/>
  <c r="G44" i="1" l="1"/>
  <c r="H43" i="1"/>
  <c r="I43" i="1" l="1"/>
  <c r="H44" i="1"/>
  <c r="J43" i="1"/>
</calcChain>
</file>

<file path=xl/sharedStrings.xml><?xml version="1.0" encoding="utf-8"?>
<sst xmlns="http://schemas.openxmlformats.org/spreadsheetml/2006/main" count="147" uniqueCount="74">
  <si>
    <t>Assumptions</t>
  </si>
  <si>
    <t>Scenarios</t>
  </si>
  <si>
    <t xml:space="preserve">Assumptions  </t>
  </si>
  <si>
    <t>Current</t>
  </si>
  <si>
    <t>Cocoa</t>
  </si>
  <si>
    <t>Coffee</t>
  </si>
  <si>
    <t>Vanilla</t>
  </si>
  <si>
    <t xml:space="preserve">Carbon price    </t>
  </si>
  <si>
    <t>Project scale (ha)</t>
  </si>
  <si>
    <t>Carbon removal/ha/year</t>
  </si>
  <si>
    <t>Seedlings + labor/ha</t>
  </si>
  <si>
    <t>One-off setup costs/ha</t>
  </si>
  <si>
    <t>Running cost/ha/year</t>
  </si>
  <si>
    <t>Farmer carbon share</t>
  </si>
  <si>
    <t>First revenue year</t>
  </si>
  <si>
    <t>Trees per hectare</t>
  </si>
  <si>
    <t>n/a</t>
  </si>
  <si>
    <t>Total Trees</t>
  </si>
  <si>
    <t>calculated</t>
  </si>
  <si>
    <t>Farmers</t>
  </si>
  <si>
    <t>implied</t>
  </si>
  <si>
    <t>Hectares per farmer</t>
  </si>
  <si>
    <t>assumed</t>
  </si>
  <si>
    <t>Costs</t>
  </si>
  <si>
    <t>Year</t>
  </si>
  <si>
    <t>Credits</t>
  </si>
  <si>
    <t>Revenue</t>
  </si>
  <si>
    <t xml:space="preserve">Planting </t>
  </si>
  <si>
    <t>Maintenance</t>
  </si>
  <si>
    <t>Farmer share</t>
  </si>
  <si>
    <t>Total</t>
  </si>
  <si>
    <t>Net cash</t>
  </si>
  <si>
    <t>IRR</t>
  </si>
  <si>
    <t>Cum. Cash</t>
  </si>
  <si>
    <t>Side-by-Side Agroforestry Scenario Comparison</t>
  </si>
  <si>
    <t>Metric</t>
  </si>
  <si>
    <t>Carbon price</t>
  </si>
  <si>
    <t>Initial planting cost/ha</t>
  </si>
  <si>
    <t>Annual credits</t>
  </si>
  <si>
    <t>Annual revenue</t>
  </si>
  <si>
    <t>Initial planting cost</t>
  </si>
  <si>
    <t>Annual operating cost</t>
  </si>
  <si>
    <t>Annual farmer share</t>
  </si>
  <si>
    <t>Simplified Annual Net Cash Flow Comparison</t>
  </si>
  <si>
    <t>Cocoa shade trees</t>
  </si>
  <si>
    <t>Coffee shade trees</t>
  </si>
  <si>
    <t>Vanilla agroforestry</t>
  </si>
  <si>
    <t>Payback Sensitivity Tables – Commercial Payback</t>
  </si>
  <si>
    <t>Input carbon price</t>
  </si>
  <si>
    <t>Initial setup cost</t>
  </si>
  <si>
    <t>Input hectares</t>
  </si>
  <si>
    <t>Pre-revenue running cost</t>
  </si>
  <si>
    <t>Annual gross revenue</t>
  </si>
  <si>
    <t>Annual net cash flow</t>
  </si>
  <si>
    <t>One-off overhead/ha</t>
  </si>
  <si>
    <t>Commercial recovery target</t>
  </si>
  <si>
    <t>Commercial Payback</t>
  </si>
  <si>
    <t>Report vs model</t>
  </si>
  <si>
    <t>Report base case payback</t>
  </si>
  <si>
    <t>Scenario assmptions:</t>
  </si>
  <si>
    <t>Data table inputs:</t>
  </si>
  <si>
    <t>Running cost/year</t>
  </si>
  <si>
    <t>Pre-revenue years</t>
  </si>
  <si>
    <t>Investor/Developer share</t>
  </si>
  <si>
    <t>Commercial recovery</t>
  </si>
  <si>
    <t>Additional years needed</t>
  </si>
  <si>
    <t>Investor/Developer share %</t>
  </si>
  <si>
    <t>“An ROI of 2x on initial setup costs is assumed as representative of commercial expectations.” p. 46</t>
  </si>
  <si>
    <t>Seedlings + labor</t>
  </si>
  <si>
    <t>One-off overhead</t>
  </si>
  <si>
    <t>Data table calcs ($000s):</t>
  </si>
  <si>
    <t xml:space="preserve">For overhead dilution. Overhead is calibrated to the base case scale.  Matches "Input" hectares but needs to be entered separately.  </t>
  </si>
  <si>
    <t>Recovery multiple (1)</t>
  </si>
  <si>
    <t>Base hectares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</si>
</sst>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\$#,##0;[Red]\(\$#,##0\);\-"/>
    <numFmt numFmtId="166" formatCode="0.0%"/>
    <numFmt numFmtId="167" formatCode="_-* #,##0.00_-;\-* #,##0.00_-;_-* &quot;-&quot;??_-;_-@_-"/>
    <numFmt numFmtId="168" formatCode="#,##0.0_);\(#,##0.0\)"/>
    <numFmt numFmtId="169" formatCode="#,##0.0_);[Red]\(#,##0.0\)"/>
    <numFmt numFmtId="170" formatCode="&quot;$&quot;#,##0.0_);[Red]\(&quot;$&quot;#,##0.0\)"/>
    <numFmt numFmtId="171" formatCode="0_);\(0\)"/>
  </numFmts>
  <fonts count="27">
    <font>
      <sz val="11"/>
      <name val="Carlito"/>
    </font>
    <font>
      <sz val="11"/>
      <color theme="1"/>
      <name val="Calibri"/>
      <family val="2"/>
    </font>
    <font>
      <sz val="11"/>
      <name val="Carlito"/>
    </font>
    <font>
      <b/>
      <sz val="11"/>
      <color rgb="FF59595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name val="Calibri"/>
      <family val="2"/>
    </font>
    <font>
      <b/>
      <sz val="11"/>
      <color rgb="FF595959"/>
      <name val="Calibri"/>
      <family val="2"/>
    </font>
    <font>
      <b/>
      <sz val="11"/>
      <color rgb="FF0070C0"/>
      <name val="Calibri"/>
      <family val="2"/>
    </font>
    <font>
      <sz val="11"/>
      <color rgb="FF595959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ajor"/>
    </font>
    <font>
      <b/>
      <sz val="11"/>
      <color rgb="FF595959"/>
      <name val="Calibri"/>
      <family val="2"/>
      <scheme val="major"/>
    </font>
    <font>
      <b/>
      <sz val="11"/>
      <color rgb="FF008000"/>
      <name val="Calibri"/>
      <family val="2"/>
      <scheme val="major"/>
    </font>
    <font>
      <sz val="11"/>
      <color rgb="FF595959"/>
      <name val="Calibri"/>
      <family val="2"/>
      <scheme val="major"/>
    </font>
    <font>
      <sz val="11"/>
      <color rgb="FF008000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name val="Calibri"/>
      <family val="2"/>
      <scheme val="major"/>
    </font>
    <font>
      <sz val="11"/>
      <color rgb="FF0070C0"/>
      <name val="Calibri"/>
      <family val="2"/>
      <scheme val="major"/>
    </font>
    <font>
      <b/>
      <sz val="11"/>
      <color rgb="FF000000"/>
      <name val="Calibri"/>
      <family val="2"/>
      <scheme val="major"/>
    </font>
    <font>
      <u/>
      <sz val="11"/>
      <name val="Calibri"/>
      <family val="2"/>
      <scheme val="major"/>
    </font>
    <font>
      <sz val="11"/>
      <color theme="0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theme="3" tint="0.89992980742820516"/>
        <bgColor indexed="65"/>
      </patternFill>
    </fill>
    <fill>
      <patternFill patternType="solid">
        <fgColor theme="9" tint="0.79989013336588644"/>
        <bgColor indexed="65"/>
      </patternFill>
    </fill>
    <fill>
      <patternFill patternType="solid">
        <fgColor rgb="FFD9EAD3"/>
      </patternFill>
    </fill>
    <fill>
      <patternFill patternType="solid">
        <fgColor theme="3" tint="0.89992980742820516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/>
    <xf numFmtId="0" fontId="1" fillId="0" borderId="0"/>
    <xf numFmtId="167" fontId="1" fillId="0" borderId="0"/>
    <xf numFmtId="9" fontId="1" fillId="0" borderId="0"/>
    <xf numFmtId="44" fontId="1" fillId="0" borderId="0"/>
    <xf numFmtId="44" fontId="2" fillId="0" borderId="0"/>
    <xf numFmtId="9" fontId="2" fillId="0" borderId="0"/>
  </cellStyleXfs>
  <cellXfs count="130">
    <xf numFmtId="0" fontId="0" fillId="0" borderId="0" xfId="0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164" fontId="8" fillId="0" borderId="1" xfId="1" applyNumberFormat="1" applyFont="1" applyBorder="1" applyAlignment="1">
      <alignment horizontal="center"/>
    </xf>
    <xf numFmtId="165" fontId="7" fillId="0" borderId="1" xfId="0" applyNumberFormat="1" applyFon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164" fontId="5" fillId="0" borderId="0" xfId="1" applyNumberFormat="1" applyFont="1"/>
    <xf numFmtId="0" fontId="4" fillId="3" borderId="2" xfId="0" applyFont="1" applyFill="1" applyBorder="1" applyAlignment="1">
      <alignment horizontal="centerContinuous"/>
    </xf>
    <xf numFmtId="0" fontId="9" fillId="0" borderId="0" xfId="0" applyFont="1" applyAlignment="1">
      <alignment horizontal="center"/>
    </xf>
    <xf numFmtId="43" fontId="5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 vertical="distributed"/>
    </xf>
    <xf numFmtId="6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9" fontId="5" fillId="0" borderId="0" xfId="0" applyNumberFormat="1" applyFont="1" applyAlignment="1">
      <alignment horizontal="right" vertical="center" wrapText="1"/>
    </xf>
    <xf numFmtId="37" fontId="5" fillId="0" borderId="0" xfId="0" applyNumberFormat="1" applyFont="1" applyAlignment="1">
      <alignment horizontal="right" vertical="center" wrapText="1"/>
    </xf>
    <xf numFmtId="0" fontId="5" fillId="0" borderId="1" xfId="0" applyFont="1" applyBorder="1" applyAlignment="1">
      <alignment horizontal="centerContinuous"/>
    </xf>
    <xf numFmtId="164" fontId="5" fillId="6" borderId="1" xfId="0" applyNumberFormat="1" applyFont="1" applyFill="1" applyBorder="1"/>
    <xf numFmtId="0" fontId="5" fillId="6" borderId="1" xfId="0" applyFont="1" applyFill="1" applyBorder="1"/>
    <xf numFmtId="0" fontId="5" fillId="0" borderId="1" xfId="0" applyFont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0" borderId="1" xfId="0" applyFont="1" applyBorder="1" applyAlignment="1">
      <alignment horizontal="centerContinuous" vertical="distributed"/>
    </xf>
    <xf numFmtId="0" fontId="1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Continuous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6" fontId="13" fillId="0" borderId="3" xfId="0" applyNumberFormat="1" applyFont="1" applyBorder="1" applyAlignment="1">
      <alignment horizontal="right" vertical="center" wrapText="1"/>
    </xf>
    <xf numFmtId="6" fontId="14" fillId="4" borderId="1" xfId="0" applyNumberFormat="1" applyFont="1" applyFill="1" applyBorder="1" applyAlignment="1">
      <alignment horizontal="right" vertical="center" wrapText="1"/>
    </xf>
    <xf numFmtId="37" fontId="13" fillId="0" borderId="3" xfId="0" applyNumberFormat="1" applyFont="1" applyBorder="1" applyAlignment="1">
      <alignment horizontal="right" vertical="center" wrapText="1"/>
    </xf>
    <xf numFmtId="37" fontId="14" fillId="4" borderId="1" xfId="0" applyNumberFormat="1" applyFont="1" applyFill="1" applyBorder="1" applyAlignment="1">
      <alignment horizontal="right" vertical="center" wrapText="1"/>
    </xf>
    <xf numFmtId="0" fontId="13" fillId="0" borderId="3" xfId="0" applyFont="1" applyBorder="1" applyAlignment="1">
      <alignment horizontal="right" vertical="center" wrapText="1"/>
    </xf>
    <xf numFmtId="0" fontId="14" fillId="4" borderId="1" xfId="0" applyFont="1" applyFill="1" applyBorder="1" applyAlignment="1">
      <alignment horizontal="right" vertical="center" wrapText="1"/>
    </xf>
    <xf numFmtId="9" fontId="13" fillId="0" borderId="3" xfId="0" applyNumberFormat="1" applyFont="1" applyBorder="1" applyAlignment="1">
      <alignment horizontal="right" vertical="center" wrapText="1"/>
    </xf>
    <xf numFmtId="9" fontId="14" fillId="4" borderId="1" xfId="0" applyNumberFormat="1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right" vertical="center" wrapText="1"/>
    </xf>
    <xf numFmtId="0" fontId="12" fillId="0" borderId="0" xfId="0" applyFont="1"/>
    <xf numFmtId="3" fontId="13" fillId="0" borderId="0" xfId="0" applyNumberFormat="1" applyFont="1" applyAlignment="1">
      <alignment horizontal="right"/>
    </xf>
    <xf numFmtId="3" fontId="13" fillId="0" borderId="0" xfId="1" applyNumberFormat="1" applyFont="1"/>
    <xf numFmtId="3" fontId="14" fillId="0" borderId="0" xfId="0" applyNumberFormat="1" applyFont="1"/>
    <xf numFmtId="0" fontId="10" fillId="3" borderId="2" xfId="0" applyFont="1" applyFill="1" applyBorder="1" applyAlignment="1">
      <alignment horizontal="centerContinuous"/>
    </xf>
    <xf numFmtId="0" fontId="10" fillId="3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/>
    </xf>
    <xf numFmtId="165" fontId="13" fillId="0" borderId="1" xfId="0" applyNumberFormat="1" applyFont="1" applyBorder="1"/>
    <xf numFmtId="9" fontId="13" fillId="0" borderId="1" xfId="0" applyNumberFormat="1" applyFont="1" applyBorder="1" applyAlignment="1">
      <alignment horizontal="center"/>
    </xf>
    <xf numFmtId="164" fontId="13" fillId="0" borderId="1" xfId="1" applyNumberFormat="1" applyFont="1" applyBorder="1" applyAlignment="1">
      <alignment horizontal="center"/>
    </xf>
    <xf numFmtId="0" fontId="10" fillId="6" borderId="1" xfId="0" applyFont="1" applyFill="1" applyBorder="1"/>
    <xf numFmtId="164" fontId="15" fillId="6" borderId="1" xfId="0" applyNumberFormat="1" applyFont="1" applyFill="1" applyBorder="1"/>
    <xf numFmtId="0" fontId="16" fillId="0" borderId="0" xfId="0" applyFont="1"/>
    <xf numFmtId="0" fontId="17" fillId="5" borderId="4" xfId="0" applyFont="1" applyFill="1" applyBorder="1"/>
    <xf numFmtId="0" fontId="18" fillId="5" borderId="4" xfId="0" applyFont="1" applyFill="1" applyBorder="1" applyAlignment="1">
      <alignment horizontal="center"/>
    </xf>
    <xf numFmtId="0" fontId="19" fillId="0" borderId="4" xfId="0" applyFont="1" applyBorder="1"/>
    <xf numFmtId="37" fontId="20" fillId="0" borderId="4" xfId="0" applyNumberFormat="1" applyFont="1" applyBorder="1"/>
    <xf numFmtId="168" fontId="20" fillId="0" borderId="4" xfId="0" applyNumberFormat="1" applyFont="1" applyBorder="1"/>
    <xf numFmtId="7" fontId="20" fillId="0" borderId="4" xfId="6" applyNumberFormat="1" applyFont="1" applyBorder="1"/>
    <xf numFmtId="166" fontId="20" fillId="0" borderId="4" xfId="7" applyNumberFormat="1" applyFont="1" applyBorder="1"/>
    <xf numFmtId="5" fontId="21" fillId="0" borderId="4" xfId="6" applyNumberFormat="1" applyFont="1" applyBorder="1"/>
    <xf numFmtId="0" fontId="22" fillId="0" borderId="0" xfId="0" applyFont="1"/>
    <xf numFmtId="5" fontId="16" fillId="0" borderId="0" xfId="6" applyNumberFormat="1" applyFont="1"/>
    <xf numFmtId="0" fontId="17" fillId="0" borderId="4" xfId="0" applyFont="1" applyBorder="1"/>
    <xf numFmtId="166" fontId="21" fillId="0" borderId="4" xfId="0" applyNumberFormat="1" applyFont="1" applyBorder="1"/>
    <xf numFmtId="0" fontId="17" fillId="5" borderId="1" xfId="0" applyFont="1" applyFill="1" applyBorder="1" applyAlignment="1">
      <alignment horizontal="center"/>
    </xf>
    <xf numFmtId="0" fontId="17" fillId="5" borderId="1" xfId="0" applyFont="1" applyFill="1" applyBorder="1"/>
    <xf numFmtId="0" fontId="23" fillId="0" borderId="1" xfId="0" applyFont="1" applyBorder="1" applyAlignment="1">
      <alignment horizontal="center"/>
    </xf>
    <xf numFmtId="5" fontId="21" fillId="0" borderId="1" xfId="0" applyNumberFormat="1" applyFont="1" applyBorder="1"/>
    <xf numFmtId="0" fontId="17" fillId="0" borderId="0" xfId="0" applyFont="1"/>
    <xf numFmtId="0" fontId="19" fillId="0" borderId="0" xfId="0" applyFont="1"/>
    <xf numFmtId="38" fontId="23" fillId="0" borderId="0" xfId="0" applyNumberFormat="1" applyFont="1"/>
    <xf numFmtId="6" fontId="23" fillId="7" borderId="6" xfId="0" applyNumberFormat="1" applyFont="1" applyFill="1" applyBorder="1" applyAlignment="1">
      <alignment horizontal="center"/>
    </xf>
    <xf numFmtId="170" fontId="16" fillId="0" borderId="20" xfId="0" applyNumberFormat="1" applyFont="1" applyBorder="1"/>
    <xf numFmtId="169" fontId="26" fillId="9" borderId="6" xfId="0" quotePrefix="1" applyNumberFormat="1" applyFont="1" applyFill="1" applyBorder="1"/>
    <xf numFmtId="0" fontId="22" fillId="0" borderId="21" xfId="0" applyFont="1" applyBorder="1"/>
    <xf numFmtId="0" fontId="16" fillId="0" borderId="22" xfId="0" applyFont="1" applyBorder="1"/>
    <xf numFmtId="0" fontId="16" fillId="0" borderId="23" xfId="0" applyFont="1" applyBorder="1"/>
    <xf numFmtId="0" fontId="19" fillId="0" borderId="24" xfId="0" applyFont="1" applyBorder="1"/>
    <xf numFmtId="0" fontId="16" fillId="0" borderId="5" xfId="0" applyFont="1" applyBorder="1"/>
    <xf numFmtId="38" fontId="23" fillId="0" borderId="25" xfId="0" applyNumberFormat="1" applyFont="1" applyBorder="1"/>
    <xf numFmtId="0" fontId="19" fillId="0" borderId="26" xfId="0" applyFont="1" applyBorder="1"/>
    <xf numFmtId="0" fontId="16" fillId="0" borderId="20" xfId="0" applyFont="1" applyBorder="1"/>
    <xf numFmtId="6" fontId="23" fillId="0" borderId="27" xfId="0" applyNumberFormat="1" applyFont="1" applyBorder="1"/>
    <xf numFmtId="6" fontId="20" fillId="0" borderId="25" xfId="0" applyNumberFormat="1" applyFont="1" applyBorder="1"/>
    <xf numFmtId="9" fontId="20" fillId="0" borderId="25" xfId="7" applyFont="1" applyBorder="1"/>
    <xf numFmtId="38" fontId="20" fillId="0" borderId="27" xfId="0" applyNumberFormat="1" applyFont="1" applyBorder="1"/>
    <xf numFmtId="0" fontId="19" fillId="0" borderId="9" xfId="0" applyFont="1" applyBorder="1"/>
    <xf numFmtId="0" fontId="16" fillId="0" borderId="28" xfId="0" applyFont="1" applyBorder="1"/>
    <xf numFmtId="38" fontId="23" fillId="0" borderId="8" xfId="0" applyNumberFormat="1" applyFont="1" applyBorder="1"/>
    <xf numFmtId="170" fontId="16" fillId="0" borderId="5" xfId="0" applyNumberFormat="1" applyFont="1" applyBorder="1"/>
    <xf numFmtId="0" fontId="16" fillId="0" borderId="25" xfId="0" applyFont="1" applyBorder="1"/>
    <xf numFmtId="0" fontId="16" fillId="0" borderId="24" xfId="0" applyFont="1" applyBorder="1"/>
    <xf numFmtId="0" fontId="19" fillId="0" borderId="5" xfId="0" applyFont="1" applyBorder="1"/>
    <xf numFmtId="38" fontId="16" fillId="0" borderId="5" xfId="0" applyNumberFormat="1" applyFont="1" applyBorder="1"/>
    <xf numFmtId="170" fontId="25" fillId="0" borderId="5" xfId="0" applyNumberFormat="1" applyFont="1" applyBorder="1"/>
    <xf numFmtId="170" fontId="16" fillId="0" borderId="25" xfId="0" applyNumberFormat="1" applyFont="1" applyBorder="1"/>
    <xf numFmtId="170" fontId="21" fillId="0" borderId="5" xfId="0" applyNumberFormat="1" applyFont="1" applyBorder="1"/>
    <xf numFmtId="170" fontId="16" fillId="0" borderId="27" xfId="0" applyNumberFormat="1" applyFont="1" applyBorder="1"/>
    <xf numFmtId="170" fontId="21" fillId="0" borderId="25" xfId="0" applyNumberFormat="1" applyFont="1" applyBorder="1"/>
    <xf numFmtId="169" fontId="16" fillId="0" borderId="5" xfId="0" applyNumberFormat="1" applyFont="1" applyBorder="1"/>
    <xf numFmtId="169" fontId="21" fillId="0" borderId="5" xfId="0" applyNumberFormat="1" applyFont="1" applyBorder="1"/>
    <xf numFmtId="38" fontId="23" fillId="0" borderId="5" xfId="0" applyNumberFormat="1" applyFont="1" applyBorder="1"/>
    <xf numFmtId="9" fontId="21" fillId="0" borderId="5" xfId="0" applyNumberFormat="1" applyFont="1" applyBorder="1"/>
    <xf numFmtId="38" fontId="21" fillId="0" borderId="5" xfId="0" applyNumberFormat="1" applyFont="1" applyBorder="1"/>
    <xf numFmtId="170" fontId="21" fillId="0" borderId="20" xfId="0" applyNumberFormat="1" applyFont="1" applyBorder="1"/>
    <xf numFmtId="0" fontId="16" fillId="0" borderId="27" xfId="0" applyFont="1" applyBorder="1"/>
    <xf numFmtId="0" fontId="17" fillId="10" borderId="0" xfId="0" applyFont="1" applyFill="1"/>
    <xf numFmtId="0" fontId="22" fillId="10" borderId="0" xfId="0" applyFont="1" applyFill="1"/>
    <xf numFmtId="0" fontId="16" fillId="10" borderId="0" xfId="0" applyFont="1" applyFill="1"/>
    <xf numFmtId="38" fontId="23" fillId="7" borderId="6" xfId="0" applyNumberFormat="1" applyFont="1" applyFill="1" applyBorder="1" applyAlignment="1">
      <alignment horizontal="center"/>
    </xf>
    <xf numFmtId="1" fontId="21" fillId="0" borderId="6" xfId="0" applyNumberFormat="1" applyFont="1" applyBorder="1" applyAlignment="1">
      <alignment horizontal="center"/>
    </xf>
    <xf numFmtId="1" fontId="21" fillId="0" borderId="7" xfId="0" applyNumberFormat="1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1" fontId="21" fillId="0" borderId="12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21" fillId="0" borderId="14" xfId="0" applyNumberFormat="1" applyFont="1" applyBorder="1" applyAlignment="1">
      <alignment horizontal="center"/>
    </xf>
    <xf numFmtId="1" fontId="21" fillId="0" borderId="8" xfId="0" applyNumberFormat="1" applyFont="1" applyBorder="1" applyAlignment="1">
      <alignment horizontal="center"/>
    </xf>
    <xf numFmtId="1" fontId="21" fillId="0" borderId="15" xfId="0" applyNumberFormat="1" applyFont="1" applyBorder="1" applyAlignment="1">
      <alignment horizontal="center"/>
    </xf>
    <xf numFmtId="1" fontId="21" fillId="0" borderId="16" xfId="0" applyNumberFormat="1" applyFont="1" applyBorder="1" applyAlignment="1">
      <alignment horizontal="center"/>
    </xf>
    <xf numFmtId="1" fontId="24" fillId="8" borderId="11" xfId="0" applyNumberFormat="1" applyFont="1" applyFill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1" fontId="21" fillId="0" borderId="18" xfId="0" applyNumberFormat="1" applyFont="1" applyBorder="1" applyAlignment="1">
      <alignment horizontal="center"/>
    </xf>
    <xf numFmtId="1" fontId="21" fillId="0" borderId="19" xfId="0" applyNumberFormat="1" applyFont="1" applyBorder="1" applyAlignment="1">
      <alignment horizontal="center"/>
    </xf>
    <xf numFmtId="171" fontId="16" fillId="0" borderId="0" xfId="0" applyNumberFormat="1" applyFont="1"/>
    <xf numFmtId="171" fontId="16" fillId="0" borderId="28" xfId="0" applyNumberFormat="1" applyFont="1" applyBorder="1"/>
    <xf numFmtId="171" fontId="16" fillId="0" borderId="28" xfId="0" applyNumberFormat="1" applyFont="1" applyBorder="1" applyAlignment="1">
      <alignment horizontal="center"/>
    </xf>
    <xf numFmtId="169" fontId="20" fillId="0" borderId="25" xfId="0" applyNumberFormat="1" applyFont="1" applyBorder="1"/>
  </cellXfs>
  <cellStyles count="8">
    <cellStyle name="Comma" xfId="1" xr:uid="{00000000-0005-0000-0000-000000000000}"/>
    <cellStyle name="Comma 2" xfId="3" xr:uid="{00000000-0005-0000-0000-000001000000}"/>
    <cellStyle name="Currency" xfId="6" xr:uid="{00000000-0005-0000-0000-000002000000}"/>
    <cellStyle name="Currency 2" xfId="5" xr:uid="{00000000-0005-0000-0000-000003000000}"/>
    <cellStyle name="Normal" xfId="0" builtinId="0"/>
    <cellStyle name="Normal 2" xfId="2" xr:uid="{00000000-0005-0000-0000-000005000000}"/>
    <cellStyle name="Percent" xfId="7" xr:uid="{00000000-0005-0000-0000-000006000000}"/>
    <cellStyle name="Percent 2" xfId="4" xr:uid="{00000000-0005-0000-0000-000007000000}"/>
  </cellStyles>
  <dxfs count="12">
    <dxf>
      <fill>
        <patternFill patternType="solid">
          <bgColor rgb="FFC6E0B4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Revenue and Simple Costs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revenue</c:v>
          </c:tx>
          <c:spPr>
            <a:solidFill>
              <a:srgbClr val="BBF7D0"/>
            </a:solidFill>
            <a:ln w="9525">
              <a:solidFill>
                <a:srgbClr val="059669"/>
              </a:solidFill>
              <a:prstDash val="solid"/>
            </a:ln>
          </c:spPr>
          <c:invertIfNegative val="1"/>
          <c:cat>
            <c:numRef>
              <c:f>'Scenario Selector'!$A$23:$A$43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'Scenario Selector'!$C$23:$C$43</c:f>
              <c:numCache>
                <c:formatCode>\$#,##0;[Red]\(\$#,##0\);\-</c:formatCode>
                <c:ptCount val="21"/>
                <c:pt idx="5">
                  <c:v>4800000</c:v>
                </c:pt>
                <c:pt idx="6">
                  <c:v>4800000</c:v>
                </c:pt>
                <c:pt idx="7">
                  <c:v>4800000</c:v>
                </c:pt>
                <c:pt idx="8">
                  <c:v>4800000</c:v>
                </c:pt>
                <c:pt idx="9">
                  <c:v>4800000</c:v>
                </c:pt>
                <c:pt idx="10">
                  <c:v>4800000</c:v>
                </c:pt>
                <c:pt idx="11">
                  <c:v>4800000</c:v>
                </c:pt>
                <c:pt idx="12">
                  <c:v>4800000</c:v>
                </c:pt>
                <c:pt idx="13">
                  <c:v>4800000</c:v>
                </c:pt>
                <c:pt idx="14">
                  <c:v>4800000</c:v>
                </c:pt>
                <c:pt idx="15">
                  <c:v>4800000</c:v>
                </c:pt>
                <c:pt idx="16">
                  <c:v>4800000</c:v>
                </c:pt>
                <c:pt idx="17">
                  <c:v>4800000</c:v>
                </c:pt>
                <c:pt idx="18">
                  <c:v>4800000</c:v>
                </c:pt>
                <c:pt idx="19">
                  <c:v>4800000</c:v>
                </c:pt>
                <c:pt idx="20">
                  <c:v>4800000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05966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24-4105-ABAE-9D03EE6FA9F8}"/>
            </c:ext>
          </c:extLst>
        </c:ser>
        <c:ser>
          <c:idx val="1"/>
          <c:order val="1"/>
          <c:tx>
            <c:v>Annual simple costs</c:v>
          </c:tx>
          <c:spPr>
            <a:solidFill>
              <a:srgbClr val="FDBA74"/>
            </a:solidFill>
            <a:ln w="9525">
              <a:solidFill>
                <a:srgbClr val="EA580C"/>
              </a:solidFill>
              <a:prstDash val="solid"/>
            </a:ln>
          </c:spPr>
          <c:invertIfNegative val="0"/>
          <c:cat>
            <c:numRef>
              <c:f>'Scenario Selector'!$A$23:$A$43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'Scenario Selector'!$G$23:$G$43</c:f>
              <c:numCache>
                <c:formatCode>\$#,##0;[Red]\(\$#,##0\);\-</c:formatCode>
                <c:ptCount val="21"/>
                <c:pt idx="0">
                  <c:v>-5520000</c:v>
                </c:pt>
                <c:pt idx="1">
                  <c:v>-1800000</c:v>
                </c:pt>
                <c:pt idx="2">
                  <c:v>-1800000</c:v>
                </c:pt>
                <c:pt idx="3">
                  <c:v>-1800000</c:v>
                </c:pt>
                <c:pt idx="4">
                  <c:v>-1800000</c:v>
                </c:pt>
                <c:pt idx="5">
                  <c:v>-2760000</c:v>
                </c:pt>
                <c:pt idx="6">
                  <c:v>-2760000</c:v>
                </c:pt>
                <c:pt idx="7">
                  <c:v>-2760000</c:v>
                </c:pt>
                <c:pt idx="8">
                  <c:v>-2760000</c:v>
                </c:pt>
                <c:pt idx="9">
                  <c:v>-2760000</c:v>
                </c:pt>
                <c:pt idx="10">
                  <c:v>-2760000</c:v>
                </c:pt>
                <c:pt idx="11">
                  <c:v>-2760000</c:v>
                </c:pt>
                <c:pt idx="12">
                  <c:v>-2760000</c:v>
                </c:pt>
                <c:pt idx="13">
                  <c:v>-2760000</c:v>
                </c:pt>
                <c:pt idx="14">
                  <c:v>-2760000</c:v>
                </c:pt>
                <c:pt idx="15">
                  <c:v>-2760000</c:v>
                </c:pt>
                <c:pt idx="16">
                  <c:v>-2760000</c:v>
                </c:pt>
                <c:pt idx="17">
                  <c:v>-2760000</c:v>
                </c:pt>
                <c:pt idx="18">
                  <c:v>-2760000</c:v>
                </c:pt>
                <c:pt idx="19">
                  <c:v>-2760000</c:v>
                </c:pt>
                <c:pt idx="20">
                  <c:v>-2760000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4-4105-ABAE-9D03EE6FA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6000000"/>
          <c:min val="-60000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Cumulative 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Cumulative position</c:v>
          </c:tx>
          <c:spPr>
            <a:ln w="33338">
              <a:solidFill>
                <a:srgbClr val="1D4ED8"/>
              </a:solidFill>
              <a:prstDash val="solid"/>
            </a:ln>
          </c:spPr>
          <c:invertIfNegative val="0"/>
          <c:cat>
            <c:numRef>
              <c:f>'Scenario Selector'!$A$23:$A$43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'Scenario Selector'!$J$23:$J$43</c:f>
              <c:numCache>
                <c:formatCode>\$#,##0;[Red]\(\$#,##0\);\-</c:formatCode>
                <c:ptCount val="21"/>
                <c:pt idx="0">
                  <c:v>-5520000</c:v>
                </c:pt>
                <c:pt idx="1">
                  <c:v>-7320000</c:v>
                </c:pt>
                <c:pt idx="2">
                  <c:v>-9120000</c:v>
                </c:pt>
                <c:pt idx="3">
                  <c:v>-10920000</c:v>
                </c:pt>
                <c:pt idx="4">
                  <c:v>-12720000</c:v>
                </c:pt>
                <c:pt idx="5">
                  <c:v>-10680000</c:v>
                </c:pt>
                <c:pt idx="6">
                  <c:v>-8640000</c:v>
                </c:pt>
                <c:pt idx="7">
                  <c:v>-6600000</c:v>
                </c:pt>
                <c:pt idx="8">
                  <c:v>-4560000</c:v>
                </c:pt>
                <c:pt idx="9">
                  <c:v>-2520000</c:v>
                </c:pt>
                <c:pt idx="10">
                  <c:v>-480000</c:v>
                </c:pt>
                <c:pt idx="11">
                  <c:v>1560000</c:v>
                </c:pt>
                <c:pt idx="12">
                  <c:v>3600000</c:v>
                </c:pt>
                <c:pt idx="13">
                  <c:v>5640000</c:v>
                </c:pt>
                <c:pt idx="14">
                  <c:v>7680000</c:v>
                </c:pt>
                <c:pt idx="15">
                  <c:v>9720000</c:v>
                </c:pt>
                <c:pt idx="16">
                  <c:v>11760000</c:v>
                </c:pt>
                <c:pt idx="17">
                  <c:v>13800000</c:v>
                </c:pt>
                <c:pt idx="18">
                  <c:v>15840000</c:v>
                </c:pt>
                <c:pt idx="19">
                  <c:v>17880000</c:v>
                </c:pt>
                <c:pt idx="20">
                  <c:v>19920000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1-4DA6-80A1-9B3CCD3B6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1"/>
        <c:ser>
          <c:idx val="1"/>
          <c:order val="1"/>
          <c:tx>
            <c:strRef>
              <c:f>'Scenario Selector'!$I$22</c:f>
              <c:strCache>
                <c:ptCount val="1"/>
                <c:pt idx="0">
                  <c:v>IRR</c:v>
                </c:pt>
              </c:strCache>
            </c:strRef>
          </c:tx>
          <c:marker>
            <c:symbol val="none"/>
          </c:marker>
          <c:val>
            <c:numRef>
              <c:f>'Scenario Selector'!$I$23:$I$43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-0.47723292363954017</c:v>
                </c:pt>
                <c:pt idx="6">
                  <c:v>-0.26067096383477117</c:v>
                </c:pt>
                <c:pt idx="7">
                  <c:v>-0.15165553769799422</c:v>
                </c:pt>
                <c:pt idx="8">
                  <c:v>-8.4330255460507875E-2</c:v>
                </c:pt>
                <c:pt idx="9">
                  <c:v>-3.8797613878917891E-2</c:v>
                </c:pt>
                <c:pt idx="10">
                  <c:v>-6.299466148226518E-3</c:v>
                </c:pt>
                <c:pt idx="11">
                  <c:v>1.7765699238594834E-2</c:v>
                </c:pt>
                <c:pt idx="12">
                  <c:v>3.6079450362945797E-2</c:v>
                </c:pt>
                <c:pt idx="13">
                  <c:v>5.0316278000181125E-2</c:v>
                </c:pt>
                <c:pt idx="14">
                  <c:v>6.1575548196098007E-2</c:v>
                </c:pt>
                <c:pt idx="15">
                  <c:v>7.0607361849281958E-2</c:v>
                </c:pt>
                <c:pt idx="16">
                  <c:v>7.7939514503083895E-2</c:v>
                </c:pt>
                <c:pt idx="17">
                  <c:v>8.3952914587372973E-2</c:v>
                </c:pt>
                <c:pt idx="18">
                  <c:v>8.8928391726923905E-2</c:v>
                </c:pt>
                <c:pt idx="19">
                  <c:v>9.3076808994883908E-2</c:v>
                </c:pt>
                <c:pt idx="20">
                  <c:v>9.6559025110493746E-2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C-44AE-9C6A-3DD947758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63696"/>
        <c:axId val="2088137296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000000"/>
          <c:min val="-150000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208813729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220063696"/>
        <c:crosses val="max"/>
        <c:crossBetween val="between"/>
      </c:valAx>
      <c:catAx>
        <c:axId val="220063696"/>
        <c:scaling>
          <c:orientation val="minMax"/>
        </c:scaling>
        <c:delete val="1"/>
        <c:axPos val="b"/>
        <c:majorTickMark val="out"/>
        <c:minorTickMark val="none"/>
        <c:tickLblPos val="nextTo"/>
        <c:crossAx val="2088137296"/>
        <c:crosses val="autoZero"/>
        <c:auto val="1"/>
        <c:lblAlgn val="ctr"/>
        <c:lblOffset val="100"/>
        <c:noMultiLvlLbl val="0"/>
      </c:cat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Net Cash Flow by Archetype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'Scenario Comparison'!$B$21</c:f>
              <c:strCache>
                <c:ptCount val="1"/>
                <c:pt idx="0">
                  <c:v>Cocoa shade trees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'Scenario Comparison'!$A$22:$A$42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'Scenario Comparison'!$B$22:$B$42</c:f>
              <c:numCache>
                <c:formatCode>"$"#,##0_);\("$"#,##0\)</c:formatCode>
                <c:ptCount val="21"/>
                <c:pt idx="0">
                  <c:v>-5520000</c:v>
                </c:pt>
                <c:pt idx="1">
                  <c:v>-1800000</c:v>
                </c:pt>
                <c:pt idx="2">
                  <c:v>-1800000</c:v>
                </c:pt>
                <c:pt idx="3">
                  <c:v>-1800000</c:v>
                </c:pt>
                <c:pt idx="4">
                  <c:v>-1800000</c:v>
                </c:pt>
                <c:pt idx="5">
                  <c:v>2040000</c:v>
                </c:pt>
                <c:pt idx="6">
                  <c:v>2040000</c:v>
                </c:pt>
                <c:pt idx="7">
                  <c:v>2040000</c:v>
                </c:pt>
                <c:pt idx="8">
                  <c:v>2040000</c:v>
                </c:pt>
                <c:pt idx="9">
                  <c:v>2040000</c:v>
                </c:pt>
                <c:pt idx="10">
                  <c:v>2040000</c:v>
                </c:pt>
                <c:pt idx="11">
                  <c:v>2040000</c:v>
                </c:pt>
                <c:pt idx="12">
                  <c:v>2040000</c:v>
                </c:pt>
                <c:pt idx="13">
                  <c:v>2040000</c:v>
                </c:pt>
                <c:pt idx="14">
                  <c:v>2040000</c:v>
                </c:pt>
                <c:pt idx="15">
                  <c:v>2040000</c:v>
                </c:pt>
                <c:pt idx="16">
                  <c:v>2040000</c:v>
                </c:pt>
                <c:pt idx="17">
                  <c:v>2040000</c:v>
                </c:pt>
                <c:pt idx="18">
                  <c:v>2040000</c:v>
                </c:pt>
                <c:pt idx="19">
                  <c:v>2040000</c:v>
                </c:pt>
                <c:pt idx="20">
                  <c:v>2040000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E5-4BD8-B05B-8828FF94022B}"/>
            </c:ext>
          </c:extLst>
        </c:ser>
        <c:ser>
          <c:idx val="1"/>
          <c:order val="1"/>
          <c:tx>
            <c:strRef>
              <c:f>'Scenario Comparison'!$C$21</c:f>
              <c:strCache>
                <c:ptCount val="1"/>
                <c:pt idx="0">
                  <c:v>Coffee shade trees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'Scenario Comparison'!$A$22:$A$42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'Scenario Comparison'!$C$22:$C$42</c:f>
              <c:numCache>
                <c:formatCode>"$"#,##0_);\("$"#,##0\)</c:formatCode>
                <c:ptCount val="21"/>
                <c:pt idx="0">
                  <c:v>-1530000</c:v>
                </c:pt>
                <c:pt idx="1">
                  <c:v>-450000</c:v>
                </c:pt>
                <c:pt idx="2">
                  <c:v>-450000</c:v>
                </c:pt>
                <c:pt idx="3">
                  <c:v>-450000</c:v>
                </c:pt>
                <c:pt idx="4">
                  <c:v>-450000</c:v>
                </c:pt>
                <c:pt idx="5">
                  <c:v>510000</c:v>
                </c:pt>
                <c:pt idx="6">
                  <c:v>510000</c:v>
                </c:pt>
                <c:pt idx="7">
                  <c:v>510000</c:v>
                </c:pt>
                <c:pt idx="8">
                  <c:v>510000</c:v>
                </c:pt>
                <c:pt idx="9">
                  <c:v>510000</c:v>
                </c:pt>
                <c:pt idx="10">
                  <c:v>510000</c:v>
                </c:pt>
                <c:pt idx="11">
                  <c:v>510000</c:v>
                </c:pt>
                <c:pt idx="12">
                  <c:v>510000</c:v>
                </c:pt>
                <c:pt idx="13">
                  <c:v>510000</c:v>
                </c:pt>
                <c:pt idx="14">
                  <c:v>510000</c:v>
                </c:pt>
                <c:pt idx="15">
                  <c:v>510000</c:v>
                </c:pt>
                <c:pt idx="16">
                  <c:v>510000</c:v>
                </c:pt>
                <c:pt idx="17">
                  <c:v>510000</c:v>
                </c:pt>
                <c:pt idx="18">
                  <c:v>510000</c:v>
                </c:pt>
                <c:pt idx="19">
                  <c:v>510000</c:v>
                </c:pt>
                <c:pt idx="20">
                  <c:v>510000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E5-4BD8-B05B-8828FF94022B}"/>
            </c:ext>
          </c:extLst>
        </c:ser>
        <c:ser>
          <c:idx val="2"/>
          <c:order val="2"/>
          <c:tx>
            <c:strRef>
              <c:f>'Scenario Comparison'!$D$21</c:f>
              <c:strCache>
                <c:ptCount val="1"/>
                <c:pt idx="0">
                  <c:v>Vanilla agroforestry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'Scenario Comparison'!$A$22:$A$42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'Scenario Comparison'!$D$22:$D$42</c:f>
              <c:numCache>
                <c:formatCode>"$"#,##0_);\("$"#,##0\)</c:formatCode>
                <c:ptCount val="21"/>
                <c:pt idx="0">
                  <c:v>-4220000</c:v>
                </c:pt>
                <c:pt idx="1">
                  <c:v>-50000</c:v>
                </c:pt>
                <c:pt idx="2">
                  <c:v>-50000</c:v>
                </c:pt>
                <c:pt idx="3">
                  <c:v>-50000</c:v>
                </c:pt>
                <c:pt idx="4">
                  <c:v>-50000</c:v>
                </c:pt>
                <c:pt idx="5">
                  <c:v>1150000</c:v>
                </c:pt>
                <c:pt idx="6">
                  <c:v>1150000</c:v>
                </c:pt>
                <c:pt idx="7">
                  <c:v>1150000</c:v>
                </c:pt>
                <c:pt idx="8">
                  <c:v>1150000</c:v>
                </c:pt>
                <c:pt idx="9">
                  <c:v>1150000</c:v>
                </c:pt>
                <c:pt idx="10">
                  <c:v>1150000</c:v>
                </c:pt>
                <c:pt idx="11">
                  <c:v>1150000</c:v>
                </c:pt>
                <c:pt idx="12">
                  <c:v>1150000</c:v>
                </c:pt>
                <c:pt idx="13">
                  <c:v>1150000</c:v>
                </c:pt>
                <c:pt idx="14">
                  <c:v>1150000</c:v>
                </c:pt>
                <c:pt idx="15">
                  <c:v>1150000</c:v>
                </c:pt>
                <c:pt idx="16">
                  <c:v>1150000</c:v>
                </c:pt>
                <c:pt idx="17">
                  <c:v>1150000</c:v>
                </c:pt>
                <c:pt idx="18">
                  <c:v>1150000</c:v>
                </c:pt>
                <c:pt idx="19">
                  <c:v>1150000</c:v>
                </c:pt>
                <c:pt idx="20">
                  <c:v>1150000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E5-4BD8-B05B-8828FF940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Project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Net cash flow ($)</a:t>
                </a:r>
              </a:p>
            </c:rich>
          </c:tx>
          <c:overlay val="0"/>
        </c:title>
        <c:numFmt formatCode="&quot;$&quot;#,##0_);\(&quot;$&quot;#,##0\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3807843904927273"/>
          <c:y val="0.5657039827887782"/>
          <c:w val="0.20146354277639203"/>
          <c:h val="0.19034650928208571"/>
        </c:manualLayout>
      </c:layout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Estimated Annual Revenue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714297363602609"/>
          <c:y val="0.15846113575148801"/>
          <c:w val="0.75207954764958918"/>
          <c:h val="0.6677408267260971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'Scenario Comparison'!$A$12</c:f>
              <c:strCache>
                <c:ptCount val="1"/>
                <c:pt idx="0">
                  <c:v>Annual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'Scenario Comparison'!$B$3:$D$3</c:f>
              <c:strCache>
                <c:ptCount val="3"/>
                <c:pt idx="0">
                  <c:v>Cocoa</c:v>
                </c:pt>
                <c:pt idx="1">
                  <c:v>Coffee</c:v>
                </c:pt>
                <c:pt idx="2">
                  <c:v>Vanilla</c:v>
                </c:pt>
              </c:strCache>
            </c:strRef>
          </c:cat>
          <c:val>
            <c:numRef>
              <c:f>'Scenario Comparison'!$B$12:$D$12</c:f>
              <c:numCache>
                <c:formatCode>"$"#,##0_);\("$"#,##0\)</c:formatCode>
                <c:ptCount val="3"/>
                <c:pt idx="0">
                  <c:v>4800000</c:v>
                </c:pt>
                <c:pt idx="1">
                  <c:v>1200000</c:v>
                </c:pt>
                <c:pt idx="2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1-47DF-9349-90DC510FA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1"/>
        <c:ser>
          <c:idx val="1"/>
          <c:order val="1"/>
          <c:tx>
            <c:strRef>
              <c:f>'Scenario Comparison'!$A$17</c:f>
              <c:strCache>
                <c:ptCount val="1"/>
                <c:pt idx="0">
                  <c:v>IRR</c:v>
                </c:pt>
              </c:strCache>
            </c:strRef>
          </c:tx>
          <c:marker>
            <c:symbol val="none"/>
          </c:marker>
          <c:val>
            <c:numRef>
              <c:f>'Scenario Comparison'!$B$17:$D$17</c:f>
              <c:numCache>
                <c:formatCode>0.0%</c:formatCode>
                <c:ptCount val="3"/>
                <c:pt idx="0">
                  <c:v>9.6559025110493746E-2</c:v>
                </c:pt>
                <c:pt idx="1">
                  <c:v>9.0587809575006339E-2</c:v>
                </c:pt>
                <c:pt idx="2">
                  <c:v>0.13732336764470898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8-48B5-8E0E-16418F8B4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619088"/>
        <c:axId val="20856195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Agroforestry archetype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Annual revenue ($/year)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48650112"/>
        <c:crosses val="autoZero"/>
        <c:crossBetween val="between"/>
      </c:valAx>
      <c:valAx>
        <c:axId val="208561956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2085619088"/>
        <c:crosses val="max"/>
        <c:crossBetween val="between"/>
      </c:valAx>
      <c:catAx>
        <c:axId val="2085619088"/>
        <c:scaling>
          <c:orientation val="minMax"/>
        </c:scaling>
        <c:delete val="1"/>
        <c:axPos val="b"/>
        <c:majorTickMark val="out"/>
        <c:minorTickMark val="none"/>
        <c:tickLblPos val="nextTo"/>
        <c:crossAx val="208561956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0376284915522613"/>
          <c:y val="0.46802656267965526"/>
          <c:w val="0.1732108632110772"/>
          <c:h val="0.14045402170908264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83858</xdr:colOff>
      <xdr:row>0</xdr:row>
      <xdr:rowOff>73957</xdr:rowOff>
    </xdr:from>
    <xdr:ext cx="8656917" cy="3553386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88713</xdr:colOff>
      <xdr:row>21</xdr:row>
      <xdr:rowOff>69104</xdr:rowOff>
    </xdr:from>
    <xdr:ext cx="8721912" cy="3836146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249766</xdr:colOff>
      <xdr:row>20</xdr:row>
      <xdr:rowOff>66676</xdr:rowOff>
    </xdr:from>
    <xdr:ext cx="6932083" cy="3619499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227342</xdr:colOff>
      <xdr:row>0</xdr:row>
      <xdr:rowOff>168373</xdr:rowOff>
    </xdr:from>
    <xdr:ext cx="6916408" cy="3270152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view="pageBreakPreview" zoomScale="85" zoomScaleNormal="100" zoomScaleSheetLayoutView="85" workbookViewId="0">
      <selection activeCell="D5" sqref="D5"/>
    </sheetView>
  </sheetViews>
  <sheetFormatPr defaultRowHeight="14.5"/>
  <cols>
    <col min="1" max="1" width="6.6640625" style="3" customWidth="1"/>
    <col min="2" max="9" width="11.1640625" style="3" customWidth="1"/>
    <col min="10" max="10" width="12.4140625" style="4" customWidth="1"/>
    <col min="11" max="11" width="3.6640625" style="3" customWidth="1"/>
    <col min="12" max="14" width="8.6640625" style="3" customWidth="1"/>
    <col min="15" max="16384" width="8.6640625" style="3"/>
  </cols>
  <sheetData>
    <row r="1" spans="1:10">
      <c r="A1" s="24" t="s">
        <v>0</v>
      </c>
      <c r="B1" s="1"/>
      <c r="C1" s="1"/>
      <c r="D1" s="2"/>
      <c r="E1" s="2"/>
      <c r="F1" s="2"/>
      <c r="G1" s="2"/>
      <c r="H1" s="2"/>
      <c r="I1" s="2"/>
      <c r="J1" s="2"/>
    </row>
    <row r="2" spans="1:10">
      <c r="J2" s="3"/>
    </row>
    <row r="3" spans="1:10">
      <c r="F3" s="25" t="s">
        <v>1</v>
      </c>
      <c r="G3" s="15"/>
      <c r="H3" s="15"/>
    </row>
    <row r="4" spans="1:10" s="14" customFormat="1">
      <c r="D4" s="26">
        <v>1</v>
      </c>
      <c r="F4" s="27">
        <v>1</v>
      </c>
      <c r="G4" s="27">
        <v>2</v>
      </c>
      <c r="H4" s="27">
        <v>3</v>
      </c>
    </row>
    <row r="5" spans="1:10">
      <c r="B5" s="28" t="s">
        <v>2</v>
      </c>
      <c r="C5" s="20"/>
      <c r="D5" s="29" t="s">
        <v>3</v>
      </c>
      <c r="F5" s="30" t="s">
        <v>4</v>
      </c>
      <c r="G5" s="30" t="s">
        <v>5</v>
      </c>
      <c r="H5" s="30" t="s">
        <v>6</v>
      </c>
      <c r="J5" s="3"/>
    </row>
    <row r="6" spans="1:10">
      <c r="B6" s="31" t="s">
        <v>7</v>
      </c>
      <c r="C6" s="23"/>
      <c r="D6" s="32">
        <f t="shared" ref="D6:D14" si="0">_xlfn.XLOOKUP($D$4,$F$4:$H$4,F6:H6)</f>
        <v>20</v>
      </c>
      <c r="E6" s="16"/>
      <c r="F6" s="33">
        <v>20</v>
      </c>
      <c r="G6" s="33">
        <v>20</v>
      </c>
      <c r="H6" s="33">
        <v>20</v>
      </c>
      <c r="J6" s="3"/>
    </row>
    <row r="7" spans="1:10">
      <c r="B7" s="31" t="s">
        <v>8</v>
      </c>
      <c r="C7" s="23"/>
      <c r="D7" s="34">
        <f t="shared" si="0"/>
        <v>120000</v>
      </c>
      <c r="E7" s="19"/>
      <c r="F7" s="35">
        <v>120000</v>
      </c>
      <c r="G7" s="35">
        <v>30000</v>
      </c>
      <c r="H7" s="35">
        <v>10000</v>
      </c>
      <c r="J7" s="3"/>
    </row>
    <row r="8" spans="1:10">
      <c r="B8" s="31" t="s">
        <v>9</v>
      </c>
      <c r="C8" s="23"/>
      <c r="D8" s="36">
        <f t="shared" si="0"/>
        <v>2</v>
      </c>
      <c r="E8" s="17"/>
      <c r="F8" s="37">
        <v>2</v>
      </c>
      <c r="G8" s="37">
        <v>2</v>
      </c>
      <c r="H8" s="37">
        <v>7.5</v>
      </c>
      <c r="J8" s="3"/>
    </row>
    <row r="9" spans="1:10">
      <c r="B9" s="31" t="s">
        <v>10</v>
      </c>
      <c r="C9" s="23"/>
      <c r="D9" s="32">
        <f t="shared" si="0"/>
        <v>30</v>
      </c>
      <c r="E9" s="16"/>
      <c r="F9" s="33">
        <v>30</v>
      </c>
      <c r="G9" s="33">
        <v>30</v>
      </c>
      <c r="H9" s="33">
        <v>400</v>
      </c>
      <c r="J9" s="3"/>
    </row>
    <row r="10" spans="1:10">
      <c r="B10" s="31" t="s">
        <v>11</v>
      </c>
      <c r="C10" s="23"/>
      <c r="D10" s="32">
        <f t="shared" si="0"/>
        <v>16</v>
      </c>
      <c r="E10" s="16"/>
      <c r="F10" s="33">
        <v>16</v>
      </c>
      <c r="G10" s="33">
        <v>21</v>
      </c>
      <c r="H10" s="33">
        <v>22</v>
      </c>
      <c r="J10" s="3"/>
    </row>
    <row r="11" spans="1:10">
      <c r="B11" s="31" t="s">
        <v>12</v>
      </c>
      <c r="C11" s="23"/>
      <c r="D11" s="32">
        <f t="shared" si="0"/>
        <v>15</v>
      </c>
      <c r="E11" s="16"/>
      <c r="F11" s="33">
        <v>15</v>
      </c>
      <c r="G11" s="33">
        <v>15</v>
      </c>
      <c r="H11" s="33">
        <v>5</v>
      </c>
      <c r="J11" s="3"/>
    </row>
    <row r="12" spans="1:10">
      <c r="B12" s="31" t="s">
        <v>13</v>
      </c>
      <c r="C12" s="23"/>
      <c r="D12" s="38">
        <f t="shared" si="0"/>
        <v>0.2</v>
      </c>
      <c r="E12" s="18"/>
      <c r="F12" s="39">
        <v>0.2</v>
      </c>
      <c r="G12" s="39">
        <v>0.2</v>
      </c>
      <c r="H12" s="39">
        <v>0.2</v>
      </c>
      <c r="J12" s="3"/>
    </row>
    <row r="13" spans="1:10">
      <c r="B13" s="31" t="s">
        <v>14</v>
      </c>
      <c r="C13" s="23"/>
      <c r="D13" s="36">
        <f t="shared" si="0"/>
        <v>5</v>
      </c>
      <c r="E13" s="17"/>
      <c r="F13" s="40">
        <v>5</v>
      </c>
      <c r="G13" s="40">
        <v>5</v>
      </c>
      <c r="H13" s="40">
        <v>5</v>
      </c>
      <c r="J13" s="3"/>
    </row>
    <row r="14" spans="1:10">
      <c r="B14" s="31" t="s">
        <v>15</v>
      </c>
      <c r="C14" s="23"/>
      <c r="D14" s="36">
        <f t="shared" si="0"/>
        <v>30</v>
      </c>
      <c r="E14" s="17"/>
      <c r="F14" s="37">
        <v>30</v>
      </c>
      <c r="G14" s="37">
        <v>30</v>
      </c>
      <c r="H14" s="40" t="s">
        <v>16</v>
      </c>
      <c r="J14" s="3"/>
    </row>
    <row r="15" spans="1:10">
      <c r="J15" s="3"/>
    </row>
    <row r="16" spans="1:10">
      <c r="B16" s="41" t="s">
        <v>17</v>
      </c>
      <c r="D16" s="42">
        <f>IF(ISERROR(D7*D14),"n/a",D7*D14)</f>
        <v>3600000</v>
      </c>
      <c r="E16" s="41" t="s">
        <v>18</v>
      </c>
      <c r="J16" s="3"/>
    </row>
    <row r="17" spans="1:10">
      <c r="B17" s="41" t="s">
        <v>19</v>
      </c>
      <c r="D17" s="43">
        <f>+D7/D18</f>
        <v>60000</v>
      </c>
      <c r="E17" s="41" t="s">
        <v>20</v>
      </c>
      <c r="J17" s="3"/>
    </row>
    <row r="18" spans="1:10">
      <c r="B18" s="41" t="s">
        <v>21</v>
      </c>
      <c r="D18" s="44">
        <v>2</v>
      </c>
      <c r="E18" s="41" t="s">
        <v>22</v>
      </c>
      <c r="G18" s="12"/>
      <c r="J18" s="3"/>
    </row>
    <row r="19" spans="1:10">
      <c r="E19" s="10"/>
    </row>
    <row r="20" spans="1:10">
      <c r="E20" s="13"/>
      <c r="F20" s="4"/>
    </row>
    <row r="21" spans="1:10">
      <c r="D21" s="45" t="s">
        <v>23</v>
      </c>
      <c r="E21" s="11"/>
      <c r="F21" s="11"/>
      <c r="G21" s="11"/>
      <c r="I21" s="4"/>
      <c r="J21" s="3"/>
    </row>
    <row r="22" spans="1:10" s="5" customFormat="1">
      <c r="A22" s="46" t="s">
        <v>24</v>
      </c>
      <c r="B22" s="46" t="s">
        <v>25</v>
      </c>
      <c r="C22" s="46" t="s">
        <v>26</v>
      </c>
      <c r="D22" s="46" t="s">
        <v>27</v>
      </c>
      <c r="E22" s="46" t="s">
        <v>28</v>
      </c>
      <c r="F22" s="46" t="s">
        <v>29</v>
      </c>
      <c r="G22" s="46" t="s">
        <v>30</v>
      </c>
      <c r="H22" s="46" t="s">
        <v>31</v>
      </c>
      <c r="I22" s="46" t="s">
        <v>32</v>
      </c>
      <c r="J22" s="46" t="s">
        <v>33</v>
      </c>
    </row>
    <row r="23" spans="1:10">
      <c r="A23" s="47">
        <v>0</v>
      </c>
      <c r="B23" s="6"/>
      <c r="C23" s="7"/>
      <c r="D23" s="48">
        <f>-+D7*(D9+D10)</f>
        <v>-5520000</v>
      </c>
      <c r="E23" s="8"/>
      <c r="F23" s="8"/>
      <c r="G23" s="48">
        <f t="shared" ref="G23:G43" si="1">+D23+E23+F23</f>
        <v>-5520000</v>
      </c>
      <c r="H23" s="48">
        <f>+C23+G23</f>
        <v>-5520000</v>
      </c>
      <c r="I23" s="49" t="str">
        <f>IF(ISERROR(IRR(H$23:H23)), "n/a",IRR(H$23:H23))</f>
        <v>n/a</v>
      </c>
      <c r="J23" s="48">
        <f>+H23</f>
        <v>-5520000</v>
      </c>
    </row>
    <row r="24" spans="1:10">
      <c r="A24" s="47">
        <v>1</v>
      </c>
      <c r="B24" s="6"/>
      <c r="C24" s="7"/>
      <c r="D24" s="9"/>
      <c r="E24" s="48">
        <f>-D7*D11</f>
        <v>-1800000</v>
      </c>
      <c r="F24" s="48">
        <f>+C24*$D$12</f>
        <v>0</v>
      </c>
      <c r="G24" s="48">
        <f t="shared" si="1"/>
        <v>-1800000</v>
      </c>
      <c r="H24" s="48">
        <f t="shared" ref="H24:H43" si="2">+C24+G24</f>
        <v>-1800000</v>
      </c>
      <c r="I24" s="49" t="str">
        <f>IF(ISERROR(IRR(H$23:H24)), "n/a",IRR(H$23:H24))</f>
        <v>n/a</v>
      </c>
      <c r="J24" s="48">
        <f t="shared" ref="J24:J43" si="3">+J23+H24</f>
        <v>-7320000</v>
      </c>
    </row>
    <row r="25" spans="1:10">
      <c r="A25" s="47">
        <v>2</v>
      </c>
      <c r="B25" s="6"/>
      <c r="C25" s="7"/>
      <c r="D25" s="9"/>
      <c r="E25" s="48">
        <f>+E24</f>
        <v>-1800000</v>
      </c>
      <c r="F25" s="48">
        <f>+C25*$D$12</f>
        <v>0</v>
      </c>
      <c r="G25" s="48">
        <f t="shared" si="1"/>
        <v>-1800000</v>
      </c>
      <c r="H25" s="48">
        <f t="shared" si="2"/>
        <v>-1800000</v>
      </c>
      <c r="I25" s="49" t="str">
        <f>IF(ISERROR(IRR(H$23:H25)), "n/a",IRR(H$23:H25))</f>
        <v>n/a</v>
      </c>
      <c r="J25" s="48">
        <f t="shared" si="3"/>
        <v>-9120000</v>
      </c>
    </row>
    <row r="26" spans="1:10">
      <c r="A26" s="47">
        <v>3</v>
      </c>
      <c r="B26" s="6"/>
      <c r="C26" s="7"/>
      <c r="D26" s="9"/>
      <c r="E26" s="48">
        <f t="shared" ref="E26:E43" si="4">+E25</f>
        <v>-1800000</v>
      </c>
      <c r="F26" s="48">
        <f>+C26*$D$12</f>
        <v>0</v>
      </c>
      <c r="G26" s="48">
        <f t="shared" si="1"/>
        <v>-1800000</v>
      </c>
      <c r="H26" s="48">
        <f t="shared" si="2"/>
        <v>-1800000</v>
      </c>
      <c r="I26" s="49" t="str">
        <f>IF(ISERROR(IRR(H$23:H26)), "n/a",IRR(H$23:H26))</f>
        <v>n/a</v>
      </c>
      <c r="J26" s="48">
        <f t="shared" si="3"/>
        <v>-10920000</v>
      </c>
    </row>
    <row r="27" spans="1:10">
      <c r="A27" s="47">
        <v>4</v>
      </c>
      <c r="B27" s="6"/>
      <c r="C27" s="7"/>
      <c r="D27" s="9"/>
      <c r="E27" s="48">
        <f t="shared" si="4"/>
        <v>-1800000</v>
      </c>
      <c r="F27" s="48">
        <f>+C27*$D$12</f>
        <v>0</v>
      </c>
      <c r="G27" s="48">
        <f t="shared" si="1"/>
        <v>-1800000</v>
      </c>
      <c r="H27" s="48">
        <f t="shared" si="2"/>
        <v>-1800000</v>
      </c>
      <c r="I27" s="49" t="str">
        <f>IF(ISERROR(IRR(H$23:H27)), "n/a",IRR(H$23:H27))</f>
        <v>n/a</v>
      </c>
      <c r="J27" s="48">
        <f t="shared" si="3"/>
        <v>-12720000</v>
      </c>
    </row>
    <row r="28" spans="1:10">
      <c r="A28" s="47">
        <v>5</v>
      </c>
      <c r="B28" s="50">
        <f>$D$7*$D$8</f>
        <v>240000</v>
      </c>
      <c r="C28" s="48">
        <f>+$B$28*$D$6</f>
        <v>4800000</v>
      </c>
      <c r="D28" s="9"/>
      <c r="E28" s="48">
        <f t="shared" si="4"/>
        <v>-1800000</v>
      </c>
      <c r="F28" s="48">
        <f>-C28*$D$12</f>
        <v>-960000</v>
      </c>
      <c r="G28" s="48">
        <f t="shared" si="1"/>
        <v>-2760000</v>
      </c>
      <c r="H28" s="48">
        <f t="shared" si="2"/>
        <v>2040000</v>
      </c>
      <c r="I28" s="49">
        <f>IF(ISERROR(IRR(H$23:H28)), "n/a",IRR(H$23:H28))</f>
        <v>-0.47723292363954017</v>
      </c>
      <c r="J28" s="48">
        <f t="shared" si="3"/>
        <v>-10680000</v>
      </c>
    </row>
    <row r="29" spans="1:10">
      <c r="A29" s="47">
        <v>6</v>
      </c>
      <c r="B29" s="50">
        <f t="shared" ref="B29:B43" si="5">+B28</f>
        <v>240000</v>
      </c>
      <c r="C29" s="48">
        <f t="shared" ref="C29:C43" si="6">+C28</f>
        <v>4800000</v>
      </c>
      <c r="D29" s="9"/>
      <c r="E29" s="48">
        <f t="shared" si="4"/>
        <v>-1800000</v>
      </c>
      <c r="F29" s="48">
        <f t="shared" ref="F29:F43" si="7">+F28</f>
        <v>-960000</v>
      </c>
      <c r="G29" s="48">
        <f t="shared" si="1"/>
        <v>-2760000</v>
      </c>
      <c r="H29" s="48">
        <f t="shared" si="2"/>
        <v>2040000</v>
      </c>
      <c r="I29" s="49">
        <f>IF(ISERROR(IRR(H$23:H29)), "n/a",IRR(H$23:H29))</f>
        <v>-0.26067096383477117</v>
      </c>
      <c r="J29" s="48">
        <f t="shared" si="3"/>
        <v>-8640000</v>
      </c>
    </row>
    <row r="30" spans="1:10">
      <c r="A30" s="47">
        <v>7</v>
      </c>
      <c r="B30" s="50">
        <f t="shared" si="5"/>
        <v>240000</v>
      </c>
      <c r="C30" s="48">
        <f t="shared" si="6"/>
        <v>4800000</v>
      </c>
      <c r="D30" s="9"/>
      <c r="E30" s="48">
        <f t="shared" si="4"/>
        <v>-1800000</v>
      </c>
      <c r="F30" s="48">
        <f t="shared" si="7"/>
        <v>-960000</v>
      </c>
      <c r="G30" s="48">
        <f t="shared" si="1"/>
        <v>-2760000</v>
      </c>
      <c r="H30" s="48">
        <f t="shared" si="2"/>
        <v>2040000</v>
      </c>
      <c r="I30" s="49">
        <f>IF(ISERROR(IRR(H$23:H30)), "n/a",IRR(H$23:H30))</f>
        <v>-0.15165553769799422</v>
      </c>
      <c r="J30" s="48">
        <f t="shared" si="3"/>
        <v>-6600000</v>
      </c>
    </row>
    <row r="31" spans="1:10">
      <c r="A31" s="47">
        <v>8</v>
      </c>
      <c r="B31" s="50">
        <f t="shared" si="5"/>
        <v>240000</v>
      </c>
      <c r="C31" s="48">
        <f t="shared" si="6"/>
        <v>4800000</v>
      </c>
      <c r="D31" s="9"/>
      <c r="E31" s="48">
        <f t="shared" si="4"/>
        <v>-1800000</v>
      </c>
      <c r="F31" s="48">
        <f t="shared" si="7"/>
        <v>-960000</v>
      </c>
      <c r="G31" s="48">
        <f t="shared" si="1"/>
        <v>-2760000</v>
      </c>
      <c r="H31" s="48">
        <f t="shared" si="2"/>
        <v>2040000</v>
      </c>
      <c r="I31" s="49">
        <f>IF(ISERROR(IRR(H$23:H31)), "n/a",IRR(H$23:H31))</f>
        <v>-8.4330255460507875E-2</v>
      </c>
      <c r="J31" s="48">
        <f t="shared" si="3"/>
        <v>-4560000</v>
      </c>
    </row>
    <row r="32" spans="1:10">
      <c r="A32" s="47">
        <v>9</v>
      </c>
      <c r="B32" s="50">
        <f t="shared" si="5"/>
        <v>240000</v>
      </c>
      <c r="C32" s="48">
        <f t="shared" si="6"/>
        <v>4800000</v>
      </c>
      <c r="D32" s="9"/>
      <c r="E32" s="48">
        <f t="shared" si="4"/>
        <v>-1800000</v>
      </c>
      <c r="F32" s="48">
        <f t="shared" si="7"/>
        <v>-960000</v>
      </c>
      <c r="G32" s="48">
        <f t="shared" si="1"/>
        <v>-2760000</v>
      </c>
      <c r="H32" s="48">
        <f t="shared" si="2"/>
        <v>2040000</v>
      </c>
      <c r="I32" s="49">
        <f>IF(ISERROR(IRR(H$23:H32)), "n/a",IRR(H$23:H32))</f>
        <v>-3.8797613878917891E-2</v>
      </c>
      <c r="J32" s="48">
        <f t="shared" si="3"/>
        <v>-2520000</v>
      </c>
    </row>
    <row r="33" spans="1:10">
      <c r="A33" s="47">
        <v>10</v>
      </c>
      <c r="B33" s="50">
        <f t="shared" si="5"/>
        <v>240000</v>
      </c>
      <c r="C33" s="48">
        <f t="shared" si="6"/>
        <v>4800000</v>
      </c>
      <c r="D33" s="9"/>
      <c r="E33" s="48">
        <f t="shared" si="4"/>
        <v>-1800000</v>
      </c>
      <c r="F33" s="48">
        <f t="shared" si="7"/>
        <v>-960000</v>
      </c>
      <c r="G33" s="48">
        <f t="shared" si="1"/>
        <v>-2760000</v>
      </c>
      <c r="H33" s="48">
        <f t="shared" si="2"/>
        <v>2040000</v>
      </c>
      <c r="I33" s="49">
        <f>IF(ISERROR(IRR(H$23:H33)), "n/a",IRR(H$23:H33))</f>
        <v>-6.299466148226518E-3</v>
      </c>
      <c r="J33" s="48">
        <f t="shared" si="3"/>
        <v>-480000</v>
      </c>
    </row>
    <row r="34" spans="1:10">
      <c r="A34" s="47">
        <v>11</v>
      </c>
      <c r="B34" s="50">
        <f t="shared" si="5"/>
        <v>240000</v>
      </c>
      <c r="C34" s="48">
        <f t="shared" si="6"/>
        <v>4800000</v>
      </c>
      <c r="D34" s="9"/>
      <c r="E34" s="48">
        <f t="shared" si="4"/>
        <v>-1800000</v>
      </c>
      <c r="F34" s="48">
        <f t="shared" si="7"/>
        <v>-960000</v>
      </c>
      <c r="G34" s="48">
        <f t="shared" si="1"/>
        <v>-2760000</v>
      </c>
      <c r="H34" s="48">
        <f t="shared" si="2"/>
        <v>2040000</v>
      </c>
      <c r="I34" s="49">
        <f>IF(ISERROR(IRR(H$23:H34)), "n/a",IRR(H$23:H34))</f>
        <v>1.7765699238594834E-2</v>
      </c>
      <c r="J34" s="48">
        <f t="shared" si="3"/>
        <v>1560000</v>
      </c>
    </row>
    <row r="35" spans="1:10">
      <c r="A35" s="47">
        <v>12</v>
      </c>
      <c r="B35" s="50">
        <f t="shared" si="5"/>
        <v>240000</v>
      </c>
      <c r="C35" s="48">
        <f t="shared" si="6"/>
        <v>4800000</v>
      </c>
      <c r="D35" s="9"/>
      <c r="E35" s="48">
        <f t="shared" si="4"/>
        <v>-1800000</v>
      </c>
      <c r="F35" s="48">
        <f t="shared" si="7"/>
        <v>-960000</v>
      </c>
      <c r="G35" s="48">
        <f t="shared" si="1"/>
        <v>-2760000</v>
      </c>
      <c r="H35" s="48">
        <f t="shared" si="2"/>
        <v>2040000</v>
      </c>
      <c r="I35" s="49">
        <f>IF(ISERROR(IRR(H$23:H35)), "n/a",IRR(H$23:H35))</f>
        <v>3.6079450362945797E-2</v>
      </c>
      <c r="J35" s="48">
        <f t="shared" si="3"/>
        <v>3600000</v>
      </c>
    </row>
    <row r="36" spans="1:10">
      <c r="A36" s="47">
        <v>13</v>
      </c>
      <c r="B36" s="50">
        <f t="shared" si="5"/>
        <v>240000</v>
      </c>
      <c r="C36" s="48">
        <f t="shared" si="6"/>
        <v>4800000</v>
      </c>
      <c r="D36" s="9"/>
      <c r="E36" s="48">
        <f t="shared" si="4"/>
        <v>-1800000</v>
      </c>
      <c r="F36" s="48">
        <f t="shared" si="7"/>
        <v>-960000</v>
      </c>
      <c r="G36" s="48">
        <f t="shared" si="1"/>
        <v>-2760000</v>
      </c>
      <c r="H36" s="48">
        <f t="shared" si="2"/>
        <v>2040000</v>
      </c>
      <c r="I36" s="49">
        <f>IF(ISERROR(IRR(H$23:H36)), "n/a",IRR(H$23:H36))</f>
        <v>5.0316278000181125E-2</v>
      </c>
      <c r="J36" s="48">
        <f t="shared" si="3"/>
        <v>5640000</v>
      </c>
    </row>
    <row r="37" spans="1:10">
      <c r="A37" s="47">
        <v>14</v>
      </c>
      <c r="B37" s="50">
        <f t="shared" si="5"/>
        <v>240000</v>
      </c>
      <c r="C37" s="48">
        <f t="shared" si="6"/>
        <v>4800000</v>
      </c>
      <c r="D37" s="9"/>
      <c r="E37" s="48">
        <f t="shared" si="4"/>
        <v>-1800000</v>
      </c>
      <c r="F37" s="48">
        <f t="shared" si="7"/>
        <v>-960000</v>
      </c>
      <c r="G37" s="48">
        <f t="shared" si="1"/>
        <v>-2760000</v>
      </c>
      <c r="H37" s="48">
        <f t="shared" si="2"/>
        <v>2040000</v>
      </c>
      <c r="I37" s="49">
        <f>IF(ISERROR(IRR(H$23:H37)), "n/a",IRR(H$23:H37))</f>
        <v>6.1575548196098007E-2</v>
      </c>
      <c r="J37" s="48">
        <f t="shared" si="3"/>
        <v>7680000</v>
      </c>
    </row>
    <row r="38" spans="1:10">
      <c r="A38" s="47">
        <v>15</v>
      </c>
      <c r="B38" s="50">
        <f t="shared" si="5"/>
        <v>240000</v>
      </c>
      <c r="C38" s="48">
        <f t="shared" si="6"/>
        <v>4800000</v>
      </c>
      <c r="D38" s="9"/>
      <c r="E38" s="48">
        <f t="shared" si="4"/>
        <v>-1800000</v>
      </c>
      <c r="F38" s="48">
        <f t="shared" si="7"/>
        <v>-960000</v>
      </c>
      <c r="G38" s="48">
        <f t="shared" si="1"/>
        <v>-2760000</v>
      </c>
      <c r="H38" s="48">
        <f t="shared" si="2"/>
        <v>2040000</v>
      </c>
      <c r="I38" s="49">
        <f>IF(ISERROR(IRR(H$23:H38)), "n/a",IRR(H$23:H38))</f>
        <v>7.0607361849281958E-2</v>
      </c>
      <c r="J38" s="48">
        <f t="shared" si="3"/>
        <v>9720000</v>
      </c>
    </row>
    <row r="39" spans="1:10">
      <c r="A39" s="47">
        <v>16</v>
      </c>
      <c r="B39" s="50">
        <f t="shared" si="5"/>
        <v>240000</v>
      </c>
      <c r="C39" s="48">
        <f t="shared" si="6"/>
        <v>4800000</v>
      </c>
      <c r="D39" s="9"/>
      <c r="E39" s="48">
        <f t="shared" si="4"/>
        <v>-1800000</v>
      </c>
      <c r="F39" s="48">
        <f t="shared" si="7"/>
        <v>-960000</v>
      </c>
      <c r="G39" s="48">
        <f t="shared" si="1"/>
        <v>-2760000</v>
      </c>
      <c r="H39" s="48">
        <f t="shared" si="2"/>
        <v>2040000</v>
      </c>
      <c r="I39" s="49">
        <f>IF(ISERROR(IRR(H$23:H39)), "n/a",IRR(H$23:H39))</f>
        <v>7.7939514503083895E-2</v>
      </c>
      <c r="J39" s="48">
        <f t="shared" si="3"/>
        <v>11760000</v>
      </c>
    </row>
    <row r="40" spans="1:10">
      <c r="A40" s="47">
        <v>17</v>
      </c>
      <c r="B40" s="50">
        <f t="shared" si="5"/>
        <v>240000</v>
      </c>
      <c r="C40" s="48">
        <f t="shared" si="6"/>
        <v>4800000</v>
      </c>
      <c r="D40" s="9"/>
      <c r="E40" s="48">
        <f t="shared" si="4"/>
        <v>-1800000</v>
      </c>
      <c r="F40" s="48">
        <f t="shared" si="7"/>
        <v>-960000</v>
      </c>
      <c r="G40" s="48">
        <f t="shared" si="1"/>
        <v>-2760000</v>
      </c>
      <c r="H40" s="48">
        <f t="shared" si="2"/>
        <v>2040000</v>
      </c>
      <c r="I40" s="49">
        <f>IF(ISERROR(IRR(H$23:H40)), "n/a",IRR(H$23:H40))</f>
        <v>8.3952914587372973E-2</v>
      </c>
      <c r="J40" s="48">
        <f t="shared" si="3"/>
        <v>13800000</v>
      </c>
    </row>
    <row r="41" spans="1:10">
      <c r="A41" s="47">
        <v>18</v>
      </c>
      <c r="B41" s="50">
        <f t="shared" si="5"/>
        <v>240000</v>
      </c>
      <c r="C41" s="48">
        <f t="shared" si="6"/>
        <v>4800000</v>
      </c>
      <c r="D41" s="9"/>
      <c r="E41" s="48">
        <f t="shared" si="4"/>
        <v>-1800000</v>
      </c>
      <c r="F41" s="48">
        <f t="shared" si="7"/>
        <v>-960000</v>
      </c>
      <c r="G41" s="48">
        <f t="shared" si="1"/>
        <v>-2760000</v>
      </c>
      <c r="H41" s="48">
        <f t="shared" si="2"/>
        <v>2040000</v>
      </c>
      <c r="I41" s="49">
        <f>IF(ISERROR(IRR(H$23:H41)), "n/a",IRR(H$23:H41))</f>
        <v>8.8928391726923905E-2</v>
      </c>
      <c r="J41" s="48">
        <f t="shared" si="3"/>
        <v>15840000</v>
      </c>
    </row>
    <row r="42" spans="1:10">
      <c r="A42" s="47">
        <v>19</v>
      </c>
      <c r="B42" s="50">
        <f t="shared" si="5"/>
        <v>240000</v>
      </c>
      <c r="C42" s="48">
        <f t="shared" si="6"/>
        <v>4800000</v>
      </c>
      <c r="D42" s="9"/>
      <c r="E42" s="48">
        <f t="shared" si="4"/>
        <v>-1800000</v>
      </c>
      <c r="F42" s="48">
        <f t="shared" si="7"/>
        <v>-960000</v>
      </c>
      <c r="G42" s="48">
        <f t="shared" si="1"/>
        <v>-2760000</v>
      </c>
      <c r="H42" s="48">
        <f t="shared" si="2"/>
        <v>2040000</v>
      </c>
      <c r="I42" s="49">
        <f>IF(ISERROR(IRR(H$23:H42)), "n/a",IRR(H$23:H42))</f>
        <v>9.3076808994883908E-2</v>
      </c>
      <c r="J42" s="48">
        <f t="shared" si="3"/>
        <v>17880000</v>
      </c>
    </row>
    <row r="43" spans="1:10">
      <c r="A43" s="47">
        <v>20</v>
      </c>
      <c r="B43" s="50">
        <f t="shared" si="5"/>
        <v>240000</v>
      </c>
      <c r="C43" s="48">
        <f t="shared" si="6"/>
        <v>4800000</v>
      </c>
      <c r="D43" s="9"/>
      <c r="E43" s="48">
        <f t="shared" si="4"/>
        <v>-1800000</v>
      </c>
      <c r="F43" s="48">
        <f t="shared" si="7"/>
        <v>-960000</v>
      </c>
      <c r="G43" s="48">
        <f t="shared" si="1"/>
        <v>-2760000</v>
      </c>
      <c r="H43" s="48">
        <f t="shared" si="2"/>
        <v>2040000</v>
      </c>
      <c r="I43" s="49">
        <f>IF(ISERROR(IRR(H$23:H43)), "n/a",IRR(H$23:H43))</f>
        <v>9.6559025110493746E-2</v>
      </c>
      <c r="J43" s="48">
        <f t="shared" si="3"/>
        <v>19920000</v>
      </c>
    </row>
    <row r="44" spans="1:10">
      <c r="A44" s="51" t="s">
        <v>30</v>
      </c>
      <c r="B44" s="52">
        <f t="shared" ref="B44:H44" si="8">SUM(B23:B43)</f>
        <v>3840000</v>
      </c>
      <c r="C44" s="52">
        <f t="shared" si="8"/>
        <v>76800000</v>
      </c>
      <c r="D44" s="52">
        <f t="shared" si="8"/>
        <v>-5520000</v>
      </c>
      <c r="E44" s="52">
        <f t="shared" si="8"/>
        <v>-36000000</v>
      </c>
      <c r="F44" s="52">
        <f t="shared" si="8"/>
        <v>-15360000</v>
      </c>
      <c r="G44" s="52">
        <f t="shared" si="8"/>
        <v>-56880000</v>
      </c>
      <c r="H44" s="52">
        <f t="shared" si="8"/>
        <v>19920000</v>
      </c>
      <c r="I44" s="21"/>
      <c r="J44" s="22"/>
    </row>
  </sheetData>
  <dataValidations disablePrompts="1" count="1">
    <dataValidation type="list" allowBlank="1" showInputMessage="1" showErrorMessage="1" sqref="E5" xr:uid="{00000000-0002-0000-0000-000000000000}">
      <formula1>"Cocoa,Coffee,Vanilla"</formula1>
    </dataValidation>
  </dataValidations>
  <pageMargins left="0.7" right="0.7" top="0.75" bottom="0.75" header="0.3" footer="0.3"/>
  <pageSetup scale="80" orientation="landscape" horizontalDpi="0" verticalDpi="0" r:id="rId1"/>
  <headerFooter>
    <oddHeader>&amp;L&amp;8&amp;A&amp;R&amp;8&amp;D</oddHeader>
    <oddFooter>&amp;L&amp;8&amp;Z&amp;F&amp;R&amp;8Page &amp;P of &amp;N</oddFooter>
  </headerFooter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view="pageBreakPreview" zoomScaleNormal="100" zoomScaleSheetLayoutView="100" workbookViewId="0">
      <selection activeCell="N53" sqref="N53"/>
    </sheetView>
  </sheetViews>
  <sheetFormatPr defaultRowHeight="14.5"/>
  <cols>
    <col min="1" max="1" width="22.9140625" style="53" customWidth="1"/>
    <col min="2" max="4" width="17.9140625" style="53" customWidth="1"/>
    <col min="5" max="5" width="8.6640625" style="53"/>
    <col min="6" max="6" width="18" style="53" customWidth="1"/>
    <col min="7" max="16384" width="8.6640625" style="53"/>
  </cols>
  <sheetData>
    <row r="1" spans="1:4">
      <c r="A1" s="70" t="s">
        <v>34</v>
      </c>
    </row>
    <row r="3" spans="1:4">
      <c r="A3" s="54" t="s">
        <v>35</v>
      </c>
      <c r="B3" s="55" t="str">
        <f>+'Scenario Selector'!F5</f>
        <v>Cocoa</v>
      </c>
      <c r="C3" s="55" t="str">
        <f>+'Scenario Selector'!G5</f>
        <v>Coffee</v>
      </c>
      <c r="D3" s="55" t="str">
        <f>+'Scenario Selector'!H5</f>
        <v>Vanilla</v>
      </c>
    </row>
    <row r="4" spans="1:4">
      <c r="A4" s="56" t="s">
        <v>8</v>
      </c>
      <c r="B4" s="57">
        <f>'Scenario Selector'!F7</f>
        <v>120000</v>
      </c>
      <c r="C4" s="57">
        <f>'Scenario Selector'!G7</f>
        <v>30000</v>
      </c>
      <c r="D4" s="57">
        <f>'Scenario Selector'!H7</f>
        <v>10000</v>
      </c>
    </row>
    <row r="5" spans="1:4">
      <c r="A5" s="56" t="s">
        <v>9</v>
      </c>
      <c r="B5" s="57">
        <f>'Scenario Selector'!F8</f>
        <v>2</v>
      </c>
      <c r="C5" s="57">
        <f>'Scenario Selector'!G8</f>
        <v>2</v>
      </c>
      <c r="D5" s="58">
        <f>'Scenario Selector'!H8</f>
        <v>7.5</v>
      </c>
    </row>
    <row r="6" spans="1:4">
      <c r="A6" s="56" t="s">
        <v>36</v>
      </c>
      <c r="B6" s="59">
        <f>'Scenario Selector'!F6</f>
        <v>20</v>
      </c>
      <c r="C6" s="59">
        <f>'Scenario Selector'!G6</f>
        <v>20</v>
      </c>
      <c r="D6" s="59">
        <f>'Scenario Selector'!H6</f>
        <v>20</v>
      </c>
    </row>
    <row r="7" spans="1:4">
      <c r="A7" s="56" t="s">
        <v>37</v>
      </c>
      <c r="B7" s="59">
        <f>'Scenario Selector'!F9</f>
        <v>30</v>
      </c>
      <c r="C7" s="59">
        <f>'Scenario Selector'!G9</f>
        <v>30</v>
      </c>
      <c r="D7" s="59">
        <f>'Scenario Selector'!H9</f>
        <v>400</v>
      </c>
    </row>
    <row r="8" spans="1:4">
      <c r="A8" s="56" t="s">
        <v>11</v>
      </c>
      <c r="B8" s="59">
        <f>'Scenario Selector'!F10</f>
        <v>16</v>
      </c>
      <c r="C8" s="59">
        <f>'Scenario Selector'!G10</f>
        <v>21</v>
      </c>
      <c r="D8" s="59">
        <f>'Scenario Selector'!H10</f>
        <v>22</v>
      </c>
    </row>
    <row r="9" spans="1:4">
      <c r="A9" s="56" t="s">
        <v>12</v>
      </c>
      <c r="B9" s="59">
        <f>'Scenario Selector'!F11</f>
        <v>15</v>
      </c>
      <c r="C9" s="59">
        <f>'Scenario Selector'!G11</f>
        <v>15</v>
      </c>
      <c r="D9" s="59">
        <f>'Scenario Selector'!H11</f>
        <v>5</v>
      </c>
    </row>
    <row r="10" spans="1:4">
      <c r="A10" s="56" t="s">
        <v>13</v>
      </c>
      <c r="B10" s="60">
        <f>'Scenario Selector'!F12</f>
        <v>0.2</v>
      </c>
      <c r="C10" s="60">
        <f>'Scenario Selector'!G12</f>
        <v>0.2</v>
      </c>
      <c r="D10" s="60">
        <f>'Scenario Selector'!H12</f>
        <v>0.2</v>
      </c>
    </row>
    <row r="11" spans="1:4">
      <c r="A11" s="56" t="s">
        <v>38</v>
      </c>
      <c r="B11" s="61">
        <f>B4*B5</f>
        <v>240000</v>
      </c>
      <c r="C11" s="61">
        <f>C4*C5</f>
        <v>60000</v>
      </c>
      <c r="D11" s="61">
        <f>D4*D5</f>
        <v>75000</v>
      </c>
    </row>
    <row r="12" spans="1:4">
      <c r="A12" s="56" t="s">
        <v>39</v>
      </c>
      <c r="B12" s="61">
        <f>B11*B6</f>
        <v>4800000</v>
      </c>
      <c r="C12" s="61">
        <f>C11*C6</f>
        <v>1200000</v>
      </c>
      <c r="D12" s="61">
        <f>D11*D6</f>
        <v>1500000</v>
      </c>
    </row>
    <row r="13" spans="1:4">
      <c r="A13" s="56" t="s">
        <v>40</v>
      </c>
      <c r="B13" s="61">
        <f>B4*(B7+B8)</f>
        <v>5520000</v>
      </c>
      <c r="C13" s="61">
        <f>C4*(C7+C8)</f>
        <v>1530000</v>
      </c>
      <c r="D13" s="61">
        <f>D4*(D7+D8)</f>
        <v>4220000</v>
      </c>
    </row>
    <row r="14" spans="1:4">
      <c r="A14" s="56" t="s">
        <v>41</v>
      </c>
      <c r="B14" s="61">
        <f>B4*B9</f>
        <v>1800000</v>
      </c>
      <c r="C14" s="61">
        <f>C4*C9</f>
        <v>450000</v>
      </c>
      <c r="D14" s="61">
        <f>D4*D9</f>
        <v>50000</v>
      </c>
    </row>
    <row r="15" spans="1:4">
      <c r="A15" s="56" t="s">
        <v>42</v>
      </c>
      <c r="B15" s="61">
        <f>B12*B10</f>
        <v>960000</v>
      </c>
      <c r="C15" s="61">
        <f>C12*C10</f>
        <v>240000</v>
      </c>
      <c r="D15" s="61">
        <f>D12*D10</f>
        <v>300000</v>
      </c>
    </row>
    <row r="16" spans="1:4">
      <c r="A16" s="62"/>
      <c r="B16" s="63"/>
      <c r="C16" s="63"/>
      <c r="D16" s="63"/>
    </row>
    <row r="17" spans="1:4">
      <c r="A17" s="64" t="s">
        <v>32</v>
      </c>
      <c r="B17" s="65">
        <f>IRR(B22:B42)</f>
        <v>9.6559025110493746E-2</v>
      </c>
      <c r="C17" s="65">
        <f>IRR(C22:C42)</f>
        <v>9.0587809575006339E-2</v>
      </c>
      <c r="D17" s="65">
        <f>IRR(D22:D42)</f>
        <v>0.13732336764470898</v>
      </c>
    </row>
    <row r="19" spans="1:4">
      <c r="A19" s="70" t="s">
        <v>43</v>
      </c>
    </row>
    <row r="21" spans="1:4">
      <c r="A21" s="66" t="s">
        <v>35</v>
      </c>
      <c r="B21" s="67" t="s">
        <v>44</v>
      </c>
      <c r="C21" s="67" t="s">
        <v>45</v>
      </c>
      <c r="D21" s="67" t="s">
        <v>46</v>
      </c>
    </row>
    <row r="22" spans="1:4">
      <c r="A22" s="68">
        <v>0</v>
      </c>
      <c r="B22" s="69">
        <f>-B13</f>
        <v>-5520000</v>
      </c>
      <c r="C22" s="69">
        <f>-C13</f>
        <v>-1530000</v>
      </c>
      <c r="D22" s="69">
        <f>-D13</f>
        <v>-4220000</v>
      </c>
    </row>
    <row r="23" spans="1:4">
      <c r="A23" s="68">
        <v>1</v>
      </c>
      <c r="B23" s="69">
        <f t="shared" ref="B23:D26" si="0">-B$14</f>
        <v>-1800000</v>
      </c>
      <c r="C23" s="69">
        <f t="shared" si="0"/>
        <v>-450000</v>
      </c>
      <c r="D23" s="69">
        <f t="shared" si="0"/>
        <v>-50000</v>
      </c>
    </row>
    <row r="24" spans="1:4">
      <c r="A24" s="68">
        <v>2</v>
      </c>
      <c r="B24" s="69">
        <f t="shared" si="0"/>
        <v>-1800000</v>
      </c>
      <c r="C24" s="69">
        <f t="shared" si="0"/>
        <v>-450000</v>
      </c>
      <c r="D24" s="69">
        <f t="shared" si="0"/>
        <v>-50000</v>
      </c>
    </row>
    <row r="25" spans="1:4">
      <c r="A25" s="68">
        <v>3</v>
      </c>
      <c r="B25" s="69">
        <f t="shared" si="0"/>
        <v>-1800000</v>
      </c>
      <c r="C25" s="69">
        <f t="shared" si="0"/>
        <v>-450000</v>
      </c>
      <c r="D25" s="69">
        <f t="shared" si="0"/>
        <v>-50000</v>
      </c>
    </row>
    <row r="26" spans="1:4">
      <c r="A26" s="68">
        <v>4</v>
      </c>
      <c r="B26" s="69">
        <f t="shared" si="0"/>
        <v>-1800000</v>
      </c>
      <c r="C26" s="69">
        <f t="shared" si="0"/>
        <v>-450000</v>
      </c>
      <c r="D26" s="69">
        <f t="shared" si="0"/>
        <v>-50000</v>
      </c>
    </row>
    <row r="27" spans="1:4">
      <c r="A27" s="68">
        <v>5</v>
      </c>
      <c r="B27" s="69">
        <f t="shared" ref="B27:D42" si="1">+B$12-B$14-B$15</f>
        <v>2040000</v>
      </c>
      <c r="C27" s="69">
        <f t="shared" si="1"/>
        <v>510000</v>
      </c>
      <c r="D27" s="69">
        <f t="shared" si="1"/>
        <v>1150000</v>
      </c>
    </row>
    <row r="28" spans="1:4">
      <c r="A28" s="68">
        <v>6</v>
      </c>
      <c r="B28" s="69">
        <f t="shared" si="1"/>
        <v>2040000</v>
      </c>
      <c r="C28" s="69">
        <f t="shared" si="1"/>
        <v>510000</v>
      </c>
      <c r="D28" s="69">
        <f t="shared" si="1"/>
        <v>1150000</v>
      </c>
    </row>
    <row r="29" spans="1:4">
      <c r="A29" s="68">
        <v>7</v>
      </c>
      <c r="B29" s="69">
        <f t="shared" si="1"/>
        <v>2040000</v>
      </c>
      <c r="C29" s="69">
        <f t="shared" si="1"/>
        <v>510000</v>
      </c>
      <c r="D29" s="69">
        <f t="shared" si="1"/>
        <v>1150000</v>
      </c>
    </row>
    <row r="30" spans="1:4">
      <c r="A30" s="68">
        <v>8</v>
      </c>
      <c r="B30" s="69">
        <f t="shared" si="1"/>
        <v>2040000</v>
      </c>
      <c r="C30" s="69">
        <f t="shared" si="1"/>
        <v>510000</v>
      </c>
      <c r="D30" s="69">
        <f t="shared" si="1"/>
        <v>1150000</v>
      </c>
    </row>
    <row r="31" spans="1:4">
      <c r="A31" s="68">
        <v>9</v>
      </c>
      <c r="B31" s="69">
        <f t="shared" si="1"/>
        <v>2040000</v>
      </c>
      <c r="C31" s="69">
        <f t="shared" si="1"/>
        <v>510000</v>
      </c>
      <c r="D31" s="69">
        <f t="shared" si="1"/>
        <v>1150000</v>
      </c>
    </row>
    <row r="32" spans="1:4">
      <c r="A32" s="68">
        <v>10</v>
      </c>
      <c r="B32" s="69">
        <f t="shared" si="1"/>
        <v>2040000</v>
      </c>
      <c r="C32" s="69">
        <f t="shared" si="1"/>
        <v>510000</v>
      </c>
      <c r="D32" s="69">
        <f t="shared" si="1"/>
        <v>1150000</v>
      </c>
    </row>
    <row r="33" spans="1:4">
      <c r="A33" s="68">
        <v>11</v>
      </c>
      <c r="B33" s="69">
        <f t="shared" si="1"/>
        <v>2040000</v>
      </c>
      <c r="C33" s="69">
        <f t="shared" si="1"/>
        <v>510000</v>
      </c>
      <c r="D33" s="69">
        <f t="shared" si="1"/>
        <v>1150000</v>
      </c>
    </row>
    <row r="34" spans="1:4">
      <c r="A34" s="68">
        <v>12</v>
      </c>
      <c r="B34" s="69">
        <f t="shared" si="1"/>
        <v>2040000</v>
      </c>
      <c r="C34" s="69">
        <f t="shared" si="1"/>
        <v>510000</v>
      </c>
      <c r="D34" s="69">
        <f t="shared" si="1"/>
        <v>1150000</v>
      </c>
    </row>
    <row r="35" spans="1:4">
      <c r="A35" s="68">
        <v>13</v>
      </c>
      <c r="B35" s="69">
        <f t="shared" si="1"/>
        <v>2040000</v>
      </c>
      <c r="C35" s="69">
        <f t="shared" si="1"/>
        <v>510000</v>
      </c>
      <c r="D35" s="69">
        <f t="shared" si="1"/>
        <v>1150000</v>
      </c>
    </row>
    <row r="36" spans="1:4">
      <c r="A36" s="68">
        <v>14</v>
      </c>
      <c r="B36" s="69">
        <f t="shared" si="1"/>
        <v>2040000</v>
      </c>
      <c r="C36" s="69">
        <f t="shared" si="1"/>
        <v>510000</v>
      </c>
      <c r="D36" s="69">
        <f t="shared" si="1"/>
        <v>1150000</v>
      </c>
    </row>
    <row r="37" spans="1:4">
      <c r="A37" s="68">
        <v>15</v>
      </c>
      <c r="B37" s="69">
        <f t="shared" si="1"/>
        <v>2040000</v>
      </c>
      <c r="C37" s="69">
        <f t="shared" si="1"/>
        <v>510000</v>
      </c>
      <c r="D37" s="69">
        <f t="shared" si="1"/>
        <v>1150000</v>
      </c>
    </row>
    <row r="38" spans="1:4">
      <c r="A38" s="68">
        <v>16</v>
      </c>
      <c r="B38" s="69">
        <f t="shared" si="1"/>
        <v>2040000</v>
      </c>
      <c r="C38" s="69">
        <f t="shared" si="1"/>
        <v>510000</v>
      </c>
      <c r="D38" s="69">
        <f t="shared" si="1"/>
        <v>1150000</v>
      </c>
    </row>
    <row r="39" spans="1:4">
      <c r="A39" s="68">
        <v>17</v>
      </c>
      <c r="B39" s="69">
        <f t="shared" si="1"/>
        <v>2040000</v>
      </c>
      <c r="C39" s="69">
        <f t="shared" si="1"/>
        <v>510000</v>
      </c>
      <c r="D39" s="69">
        <f t="shared" si="1"/>
        <v>1150000</v>
      </c>
    </row>
    <row r="40" spans="1:4">
      <c r="A40" s="68">
        <v>18</v>
      </c>
      <c r="B40" s="69">
        <f t="shared" si="1"/>
        <v>2040000</v>
      </c>
      <c r="C40" s="69">
        <f t="shared" si="1"/>
        <v>510000</v>
      </c>
      <c r="D40" s="69">
        <f t="shared" si="1"/>
        <v>1150000</v>
      </c>
    </row>
    <row r="41" spans="1:4">
      <c r="A41" s="68">
        <v>19</v>
      </c>
      <c r="B41" s="69">
        <f t="shared" si="1"/>
        <v>2040000</v>
      </c>
      <c r="C41" s="69">
        <f t="shared" si="1"/>
        <v>510000</v>
      </c>
      <c r="D41" s="69">
        <f t="shared" si="1"/>
        <v>1150000</v>
      </c>
    </row>
    <row r="42" spans="1:4">
      <c r="A42" s="68">
        <v>20</v>
      </c>
      <c r="B42" s="69">
        <f t="shared" si="1"/>
        <v>2040000</v>
      </c>
      <c r="C42" s="69">
        <f t="shared" si="1"/>
        <v>510000</v>
      </c>
      <c r="D42" s="69">
        <f t="shared" si="1"/>
        <v>1150000</v>
      </c>
    </row>
  </sheetData>
  <pageMargins left="0.7" right="0.7" top="0.75" bottom="0.75" header="0.3" footer="0.3"/>
  <pageSetup scale="84" orientation="landscape" horizontalDpi="0" verticalDpi="0" r:id="rId1"/>
  <headerFooter>
    <oddHeader>&amp;L&amp;8&amp;A&amp;R&amp;8&amp;D</oddHeader>
    <oddFooter>&amp;L&amp;8&amp;Z&amp;F&amp;R&amp;8Page &amp;P of &amp;N</oddFooter>
  </headerFooter>
  <colBreaks count="1" manualBreakCount="1">
    <brk id="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6"/>
  <sheetViews>
    <sheetView view="pageBreakPreview" zoomScale="130" zoomScaleNormal="115" zoomScaleSheetLayoutView="130" workbookViewId="0"/>
  </sheetViews>
  <sheetFormatPr defaultRowHeight="14.5"/>
  <cols>
    <col min="1" max="1" width="3.9140625" style="53" customWidth="1"/>
    <col min="2" max="2" width="8.6640625" style="53" customWidth="1"/>
    <col min="3" max="3" width="9.58203125" style="53" customWidth="1"/>
    <col min="4" max="4" width="8.6640625" style="53" customWidth="1"/>
    <col min="5" max="5" width="1.9140625" style="53" customWidth="1"/>
    <col min="6" max="15" width="8" style="53" customWidth="1"/>
    <col min="16" max="16" width="9" style="53" customWidth="1"/>
    <col min="17" max="16384" width="8.6640625" style="53"/>
  </cols>
  <sheetData>
    <row r="1" spans="1:16">
      <c r="A1" s="70" t="s">
        <v>47</v>
      </c>
    </row>
    <row r="3" spans="1:16">
      <c r="A3" s="88" t="s">
        <v>72</v>
      </c>
      <c r="B3" s="89"/>
      <c r="C3" s="128"/>
      <c r="D3" s="90">
        <v>2</v>
      </c>
    </row>
    <row r="4" spans="1:16">
      <c r="A4" s="71"/>
      <c r="B4" s="72"/>
    </row>
    <row r="5" spans="1:16">
      <c r="A5" s="108" t="str">
        <f>+'Scenario Selector'!$F$5</f>
        <v>Cocoa</v>
      </c>
      <c r="B5" s="109"/>
      <c r="C5" s="109"/>
      <c r="D5" s="109"/>
      <c r="E5" s="109"/>
      <c r="F5" s="109"/>
      <c r="G5" s="109"/>
      <c r="H5" s="110"/>
      <c r="I5" s="110"/>
      <c r="J5" s="110"/>
      <c r="K5" s="110"/>
      <c r="L5" s="110"/>
      <c r="M5" s="110"/>
      <c r="N5" s="110"/>
      <c r="O5" s="110"/>
      <c r="P5" s="110"/>
    </row>
    <row r="6" spans="1:16">
      <c r="A6" s="70"/>
      <c r="B6" s="62"/>
      <c r="C6" s="62"/>
      <c r="D6" s="62"/>
      <c r="E6" s="62"/>
      <c r="F6" s="62"/>
      <c r="G6" s="62"/>
    </row>
    <row r="7" spans="1:16">
      <c r="A7" s="76" t="s">
        <v>60</v>
      </c>
      <c r="B7" s="77"/>
      <c r="C7" s="77"/>
      <c r="D7" s="78"/>
      <c r="F7" s="76" t="s">
        <v>70</v>
      </c>
      <c r="G7" s="77"/>
      <c r="H7" s="77"/>
      <c r="I7" s="77"/>
      <c r="J7" s="77"/>
      <c r="K7" s="77"/>
      <c r="L7" s="77"/>
      <c r="M7" s="77"/>
      <c r="N7" s="77"/>
      <c r="O7" s="77"/>
      <c r="P7" s="78"/>
    </row>
    <row r="8" spans="1:16">
      <c r="A8" s="79" t="s">
        <v>50</v>
      </c>
      <c r="B8" s="80"/>
      <c r="C8" s="80"/>
      <c r="D8" s="81">
        <v>120000</v>
      </c>
      <c r="F8" s="79" t="s">
        <v>49</v>
      </c>
      <c r="G8" s="80"/>
      <c r="H8" s="80"/>
      <c r="I8" s="80"/>
      <c r="J8" s="80"/>
      <c r="K8" s="80"/>
      <c r="L8" s="80" t="str">
        <f>+F11</f>
        <v>Total Initial setup cost</v>
      </c>
      <c r="M8" s="80"/>
      <c r="N8" s="80"/>
      <c r="O8" s="91">
        <f>+J11</f>
        <v>5520</v>
      </c>
      <c r="P8" s="92"/>
    </row>
    <row r="9" spans="1:16">
      <c r="A9" s="82" t="s">
        <v>48</v>
      </c>
      <c r="B9" s="83"/>
      <c r="C9" s="83"/>
      <c r="D9" s="84">
        <v>20</v>
      </c>
      <c r="F9" s="93" t="s">
        <v>68</v>
      </c>
      <c r="G9" s="80"/>
      <c r="H9" s="94"/>
      <c r="I9" s="80"/>
      <c r="J9" s="91">
        <f>+D13*D8/1000</f>
        <v>3600</v>
      </c>
      <c r="K9" s="80"/>
      <c r="L9" s="80" t="str">
        <f>+$A$3</f>
        <v>Recovery multiple (1)</v>
      </c>
      <c r="M9" s="80"/>
      <c r="N9" s="80"/>
      <c r="O9" s="95">
        <f>+$D$3</f>
        <v>2</v>
      </c>
      <c r="P9" s="92"/>
    </row>
    <row r="10" spans="1:16">
      <c r="F10" s="93" t="s">
        <v>69</v>
      </c>
      <c r="G10" s="80"/>
      <c r="H10" s="94"/>
      <c r="I10" s="80"/>
      <c r="J10" s="96">
        <f>+D19*D14/1000</f>
        <v>1920</v>
      </c>
      <c r="K10" s="80"/>
      <c r="L10" s="80" t="s">
        <v>64</v>
      </c>
      <c r="M10" s="80"/>
      <c r="N10" s="80"/>
      <c r="O10" s="80"/>
      <c r="P10" s="97">
        <f>+O8*O9</f>
        <v>11040</v>
      </c>
    </row>
    <row r="11" spans="1:16">
      <c r="A11" s="76" t="s">
        <v>59</v>
      </c>
      <c r="B11" s="77"/>
      <c r="C11" s="77"/>
      <c r="D11" s="78"/>
      <c r="F11" s="93" t="str">
        <f>"Total "&amp;$F$8</f>
        <v>Total Initial setup cost</v>
      </c>
      <c r="G11" s="80"/>
      <c r="H11" s="80"/>
      <c r="I11" s="80"/>
      <c r="J11" s="98">
        <f>SUM(J9:J10)</f>
        <v>5520</v>
      </c>
      <c r="K11" s="80"/>
      <c r="L11" s="80" t="str">
        <f>+F16</f>
        <v>Pre-revenue running cost</v>
      </c>
      <c r="M11" s="80"/>
      <c r="N11" s="80"/>
      <c r="O11" s="80"/>
      <c r="P11" s="99">
        <f>+J16</f>
        <v>7200</v>
      </c>
    </row>
    <row r="12" spans="1:16">
      <c r="A12" s="79" t="s">
        <v>9</v>
      </c>
      <c r="B12" s="80"/>
      <c r="C12" s="80"/>
      <c r="D12" s="129">
        <f>'Scenario Selector'!$F$8</f>
        <v>2</v>
      </c>
      <c r="F12" s="93"/>
      <c r="G12" s="80"/>
      <c r="H12" s="80"/>
      <c r="I12" s="80"/>
      <c r="J12" s="80"/>
      <c r="K12" s="80"/>
      <c r="L12" s="94" t="s">
        <v>55</v>
      </c>
      <c r="M12" s="80"/>
      <c r="N12" s="80"/>
      <c r="O12" s="80"/>
      <c r="P12" s="100">
        <f>+P10+P11</f>
        <v>18240</v>
      </c>
    </row>
    <row r="13" spans="1:16">
      <c r="A13" s="79" t="s">
        <v>10</v>
      </c>
      <c r="B13" s="80"/>
      <c r="C13" s="80"/>
      <c r="D13" s="85">
        <f>'Scenario Selector'!$F$9</f>
        <v>30</v>
      </c>
      <c r="F13" s="93"/>
      <c r="G13" s="80"/>
      <c r="H13" s="80"/>
      <c r="I13" s="80"/>
      <c r="J13" s="80"/>
      <c r="K13" s="80"/>
      <c r="L13" s="80"/>
      <c r="M13" s="80"/>
      <c r="N13" s="80"/>
      <c r="O13" s="80"/>
      <c r="P13" s="92"/>
    </row>
    <row r="14" spans="1:16">
      <c r="A14" s="79" t="s">
        <v>54</v>
      </c>
      <c r="B14" s="80"/>
      <c r="C14" s="80"/>
      <c r="D14" s="85">
        <f>'Scenario Selector'!$F$10</f>
        <v>16</v>
      </c>
      <c r="F14" s="79" t="s">
        <v>61</v>
      </c>
      <c r="G14" s="80"/>
      <c r="H14" s="80"/>
      <c r="I14" s="91">
        <f>+D8*D15/1000</f>
        <v>1800</v>
      </c>
      <c r="J14" s="80"/>
      <c r="K14" s="80"/>
      <c r="L14" s="80"/>
      <c r="M14" s="80"/>
      <c r="N14" s="80"/>
      <c r="O14" s="80"/>
      <c r="P14" s="92"/>
    </row>
    <row r="15" spans="1:16">
      <c r="A15" s="79" t="s">
        <v>12</v>
      </c>
      <c r="B15" s="80"/>
      <c r="C15" s="80"/>
      <c r="D15" s="85">
        <f>'Scenario Selector'!$F$11</f>
        <v>15</v>
      </c>
      <c r="F15" s="79" t="s">
        <v>62</v>
      </c>
      <c r="G15" s="80"/>
      <c r="H15" s="80"/>
      <c r="I15" s="95">
        <f>+D17-1</f>
        <v>4</v>
      </c>
      <c r="J15" s="80"/>
      <c r="K15" s="80"/>
      <c r="L15" s="80" t="str">
        <f>+F15</f>
        <v>Pre-revenue years</v>
      </c>
      <c r="M15" s="80"/>
      <c r="N15" s="80"/>
      <c r="O15" s="101">
        <f>+I15</f>
        <v>4</v>
      </c>
      <c r="P15" s="92"/>
    </row>
    <row r="16" spans="1:16">
      <c r="A16" s="79" t="s">
        <v>13</v>
      </c>
      <c r="B16" s="80"/>
      <c r="C16" s="80"/>
      <c r="D16" s="86">
        <f>'Scenario Selector'!$F$12</f>
        <v>0.2</v>
      </c>
      <c r="F16" s="79" t="s">
        <v>51</v>
      </c>
      <c r="G16" s="80"/>
      <c r="H16" s="80"/>
      <c r="I16" s="80"/>
      <c r="J16" s="98">
        <f>+I14*I15</f>
        <v>7200</v>
      </c>
      <c r="K16" s="80"/>
      <c r="L16" s="80" t="s">
        <v>65</v>
      </c>
      <c r="M16" s="80"/>
      <c r="N16" s="80"/>
      <c r="O16" s="101">
        <f>+P12/J23</f>
        <v>8.9411764705882355</v>
      </c>
      <c r="P16" s="92"/>
    </row>
    <row r="17" spans="1:16">
      <c r="A17" s="82" t="s">
        <v>14</v>
      </c>
      <c r="B17" s="83"/>
      <c r="C17" s="83"/>
      <c r="D17" s="87">
        <f>'Scenario Selector'!$F$13</f>
        <v>5</v>
      </c>
      <c r="F17" s="93"/>
      <c r="G17" s="80"/>
      <c r="H17" s="80"/>
      <c r="I17" s="80"/>
      <c r="J17" s="80"/>
      <c r="K17" s="80"/>
      <c r="L17" s="94" t="s">
        <v>56</v>
      </c>
      <c r="M17" s="80"/>
      <c r="N17" s="80"/>
      <c r="O17" s="102">
        <f>IF(J23&lt;=0,"-",ROUNDUP(O15+O16,0))</f>
        <v>13</v>
      </c>
      <c r="P17" s="92"/>
    </row>
    <row r="18" spans="1:16">
      <c r="F18" s="93"/>
      <c r="G18" s="80"/>
      <c r="H18" s="80"/>
      <c r="I18" s="80"/>
      <c r="J18" s="80"/>
      <c r="K18" s="80"/>
      <c r="L18" s="94"/>
      <c r="M18" s="80"/>
      <c r="N18" s="80"/>
      <c r="O18" s="102"/>
      <c r="P18" s="92"/>
    </row>
    <row r="19" spans="1:16">
      <c r="A19" s="88" t="s">
        <v>73</v>
      </c>
      <c r="B19" s="89"/>
      <c r="C19" s="127"/>
      <c r="D19" s="90">
        <v>120000</v>
      </c>
      <c r="F19" s="79" t="s">
        <v>52</v>
      </c>
      <c r="G19" s="80"/>
      <c r="H19" s="80"/>
      <c r="I19" s="98">
        <f>D8*D12*D9/1000</f>
        <v>4800</v>
      </c>
      <c r="J19" s="80"/>
      <c r="K19" s="80"/>
      <c r="L19" s="94" t="s">
        <v>58</v>
      </c>
      <c r="M19" s="80"/>
      <c r="N19" s="80"/>
      <c r="O19" s="103">
        <v>13</v>
      </c>
      <c r="P19" s="92"/>
    </row>
    <row r="20" spans="1:16">
      <c r="F20" s="79" t="s">
        <v>66</v>
      </c>
      <c r="G20" s="80"/>
      <c r="H20" s="80"/>
      <c r="I20" s="104">
        <f>1-D16</f>
        <v>0.8</v>
      </c>
      <c r="J20" s="80"/>
      <c r="K20" s="80"/>
      <c r="L20" s="94" t="s">
        <v>57</v>
      </c>
      <c r="M20" s="80"/>
      <c r="N20" s="80"/>
      <c r="O20" s="105">
        <f>IF(ISNUMBER(O17),O17-O19,"n/a")</f>
        <v>0</v>
      </c>
      <c r="P20" s="92"/>
    </row>
    <row r="21" spans="1:16">
      <c r="F21" s="79" t="s">
        <v>63</v>
      </c>
      <c r="G21" s="80"/>
      <c r="H21" s="80"/>
      <c r="I21" s="80"/>
      <c r="J21" s="98">
        <f>+I19*I20</f>
        <v>3840</v>
      </c>
      <c r="K21" s="80"/>
      <c r="L21" s="80"/>
      <c r="M21" s="80"/>
      <c r="N21" s="80"/>
      <c r="O21" s="80"/>
      <c r="P21" s="92"/>
    </row>
    <row r="22" spans="1:16">
      <c r="F22" s="93" t="str">
        <f>+F14</f>
        <v>Running cost/year</v>
      </c>
      <c r="G22" s="80"/>
      <c r="H22" s="80"/>
      <c r="I22" s="80"/>
      <c r="J22" s="74">
        <f>+I14</f>
        <v>1800</v>
      </c>
      <c r="K22" s="80"/>
      <c r="L22" s="80"/>
      <c r="M22" s="80"/>
      <c r="N22" s="80"/>
      <c r="O22" s="80"/>
      <c r="P22" s="92"/>
    </row>
    <row r="23" spans="1:16">
      <c r="F23" s="82" t="s">
        <v>53</v>
      </c>
      <c r="G23" s="83"/>
      <c r="H23" s="83"/>
      <c r="I23" s="83"/>
      <c r="J23" s="106">
        <f>+J21-J22</f>
        <v>2040</v>
      </c>
      <c r="K23" s="83"/>
      <c r="L23" s="83"/>
      <c r="M23" s="83"/>
      <c r="N23" s="83"/>
      <c r="O23" s="83"/>
      <c r="P23" s="107"/>
    </row>
    <row r="25" spans="1:16">
      <c r="F25" s="75">
        <f>O17</f>
        <v>13</v>
      </c>
      <c r="G25" s="111">
        <v>12000</v>
      </c>
      <c r="H25" s="111">
        <v>30000</v>
      </c>
      <c r="I25" s="111">
        <v>60000</v>
      </c>
      <c r="J25" s="111">
        <v>90000</v>
      </c>
      <c r="K25" s="111">
        <v>120000</v>
      </c>
      <c r="L25" s="111">
        <v>150000</v>
      </c>
      <c r="M25" s="111">
        <v>180000</v>
      </c>
      <c r="N25" s="111">
        <v>210000</v>
      </c>
      <c r="O25" s="111">
        <v>240000</v>
      </c>
    </row>
    <row r="26" spans="1:16">
      <c r="F26" s="73">
        <v>2</v>
      </c>
      <c r="G26" s="112" t="str">
        <f t="dataTable" ref="G26:O34" dt2D="1" dtr="0" r1="D8" r2="D9"/>
        <v>-</v>
      </c>
      <c r="H26" s="112" t="str">
        <v>-</v>
      </c>
      <c r="I26" s="112" t="str">
        <v>-</v>
      </c>
      <c r="J26" s="112" t="str">
        <v>-</v>
      </c>
      <c r="K26" s="112" t="str">
        <v>-</v>
      </c>
      <c r="L26" s="112" t="str">
        <v>-</v>
      </c>
      <c r="M26" s="112" t="str">
        <v>-</v>
      </c>
      <c r="N26" s="112" t="str">
        <v>-</v>
      </c>
      <c r="O26" s="112" t="str">
        <v>-</v>
      </c>
    </row>
    <row r="27" spans="1:16" ht="15" thickBot="1">
      <c r="F27" s="73">
        <v>5</v>
      </c>
      <c r="G27" s="112" t="str">
        <v>-</v>
      </c>
      <c r="H27" s="112" t="str">
        <v>-</v>
      </c>
      <c r="I27" s="113" t="str">
        <v>-</v>
      </c>
      <c r="J27" s="113" t="str">
        <v>-</v>
      </c>
      <c r="K27" s="113" t="str">
        <v>-</v>
      </c>
      <c r="L27" s="113" t="str">
        <v>-</v>
      </c>
      <c r="M27" s="113" t="str">
        <v>-</v>
      </c>
      <c r="N27" s="112" t="str">
        <v>-</v>
      </c>
      <c r="O27" s="112" t="str">
        <v>-</v>
      </c>
    </row>
    <row r="28" spans="1:16" ht="15" thickTop="1">
      <c r="F28" s="73">
        <v>10</v>
      </c>
      <c r="G28" s="112">
        <v>444</v>
      </c>
      <c r="H28" s="114">
        <v>252</v>
      </c>
      <c r="I28" s="115">
        <v>188</v>
      </c>
      <c r="J28" s="116">
        <v>167</v>
      </c>
      <c r="K28" s="116">
        <v>156</v>
      </c>
      <c r="L28" s="116">
        <v>150</v>
      </c>
      <c r="M28" s="117">
        <v>146</v>
      </c>
      <c r="N28" s="118">
        <v>143</v>
      </c>
      <c r="O28" s="112">
        <v>140</v>
      </c>
    </row>
    <row r="29" spans="1:16" ht="15" thickBot="1">
      <c r="F29" s="73">
        <v>15</v>
      </c>
      <c r="G29" s="112">
        <v>53</v>
      </c>
      <c r="H29" s="114">
        <v>32</v>
      </c>
      <c r="I29" s="119">
        <v>25</v>
      </c>
      <c r="J29" s="112">
        <v>23</v>
      </c>
      <c r="K29" s="113">
        <v>21</v>
      </c>
      <c r="L29" s="112">
        <v>21</v>
      </c>
      <c r="M29" s="120">
        <v>20</v>
      </c>
      <c r="N29" s="118">
        <v>20</v>
      </c>
      <c r="O29" s="112">
        <v>20</v>
      </c>
    </row>
    <row r="30" spans="1:16" ht="15.5" thickTop="1" thickBot="1">
      <c r="F30" s="73">
        <v>20</v>
      </c>
      <c r="G30" s="112">
        <v>30</v>
      </c>
      <c r="H30" s="114">
        <v>19</v>
      </c>
      <c r="I30" s="119">
        <v>15</v>
      </c>
      <c r="J30" s="114">
        <v>14</v>
      </c>
      <c r="K30" s="121">
        <v>13</v>
      </c>
      <c r="L30" s="118">
        <v>13</v>
      </c>
      <c r="M30" s="120">
        <v>13</v>
      </c>
      <c r="N30" s="118">
        <v>13</v>
      </c>
      <c r="O30" s="112">
        <v>12</v>
      </c>
    </row>
    <row r="31" spans="1:16" ht="15" thickTop="1">
      <c r="F31" s="73">
        <v>25</v>
      </c>
      <c r="G31" s="112">
        <v>22</v>
      </c>
      <c r="H31" s="114">
        <v>14</v>
      </c>
      <c r="I31" s="119">
        <v>12</v>
      </c>
      <c r="J31" s="112">
        <v>11</v>
      </c>
      <c r="K31" s="122">
        <v>11</v>
      </c>
      <c r="L31" s="112">
        <v>10</v>
      </c>
      <c r="M31" s="120">
        <v>10</v>
      </c>
      <c r="N31" s="118">
        <v>10</v>
      </c>
      <c r="O31" s="112">
        <v>10</v>
      </c>
    </row>
    <row r="32" spans="1:16" ht="15" thickBot="1">
      <c r="F32" s="73">
        <v>30</v>
      </c>
      <c r="G32" s="112">
        <v>18</v>
      </c>
      <c r="H32" s="114">
        <v>12</v>
      </c>
      <c r="I32" s="123">
        <v>10</v>
      </c>
      <c r="J32" s="124">
        <v>9</v>
      </c>
      <c r="K32" s="124">
        <v>9</v>
      </c>
      <c r="L32" s="124">
        <v>9</v>
      </c>
      <c r="M32" s="125">
        <v>9</v>
      </c>
      <c r="N32" s="118">
        <v>9</v>
      </c>
      <c r="O32" s="112">
        <v>9</v>
      </c>
    </row>
    <row r="33" spans="1:16" ht="15" thickTop="1">
      <c r="F33" s="73">
        <v>35</v>
      </c>
      <c r="G33" s="112">
        <v>15</v>
      </c>
      <c r="H33" s="112">
        <v>11</v>
      </c>
      <c r="I33" s="122">
        <v>9</v>
      </c>
      <c r="J33" s="122">
        <v>8</v>
      </c>
      <c r="K33" s="122">
        <v>8</v>
      </c>
      <c r="L33" s="122">
        <v>8</v>
      </c>
      <c r="M33" s="122">
        <v>8</v>
      </c>
      <c r="N33" s="112">
        <v>8</v>
      </c>
      <c r="O33" s="112">
        <v>8</v>
      </c>
    </row>
    <row r="34" spans="1:16">
      <c r="F34" s="73">
        <v>40</v>
      </c>
      <c r="G34" s="112">
        <v>13</v>
      </c>
      <c r="H34" s="112">
        <v>10</v>
      </c>
      <c r="I34" s="112">
        <v>8</v>
      </c>
      <c r="J34" s="112">
        <v>8</v>
      </c>
      <c r="K34" s="112">
        <v>8</v>
      </c>
      <c r="L34" s="112">
        <v>7</v>
      </c>
      <c r="M34" s="112">
        <v>7</v>
      </c>
      <c r="N34" s="112">
        <v>7</v>
      </c>
      <c r="O34" s="112">
        <v>7</v>
      </c>
    </row>
    <row r="35" spans="1:16">
      <c r="A35" s="126"/>
    </row>
    <row r="37" spans="1:16">
      <c r="A37" s="126">
        <v>-1</v>
      </c>
      <c r="B37" s="53" t="s">
        <v>67</v>
      </c>
    </row>
    <row r="38" spans="1:16">
      <c r="A38" s="126">
        <f>+A37-1</f>
        <v>-2</v>
      </c>
      <c r="B38" s="53" t="s">
        <v>71</v>
      </c>
    </row>
    <row r="39" spans="1:16">
      <c r="A39" s="108" t="str">
        <f>+'Scenario Selector'!$G$5</f>
        <v>Coffee</v>
      </c>
      <c r="B39" s="109"/>
      <c r="C39" s="109"/>
      <c r="D39" s="109"/>
      <c r="E39" s="109"/>
      <c r="F39" s="109"/>
      <c r="G39" s="109"/>
      <c r="H39" s="110"/>
      <c r="I39" s="110"/>
      <c r="J39" s="110"/>
      <c r="K39" s="110"/>
      <c r="L39" s="110"/>
      <c r="M39" s="110"/>
      <c r="N39" s="110"/>
      <c r="O39" s="110"/>
      <c r="P39" s="110"/>
    </row>
    <row r="40" spans="1:16">
      <c r="A40" s="70"/>
      <c r="B40" s="62"/>
      <c r="C40" s="62"/>
      <c r="D40" s="62"/>
      <c r="E40" s="62"/>
      <c r="F40" s="62"/>
      <c r="G40" s="62"/>
    </row>
    <row r="41" spans="1:16">
      <c r="A41" s="76" t="s">
        <v>60</v>
      </c>
      <c r="B41" s="77"/>
      <c r="C41" s="77"/>
      <c r="D41" s="78"/>
      <c r="F41" s="76" t="s">
        <v>70</v>
      </c>
      <c r="G41" s="77"/>
      <c r="H41" s="77"/>
      <c r="I41" s="77"/>
      <c r="J41" s="77"/>
      <c r="K41" s="77"/>
      <c r="L41" s="77"/>
      <c r="M41" s="77"/>
      <c r="N41" s="77"/>
      <c r="O41" s="77"/>
      <c r="P41" s="78"/>
    </row>
    <row r="42" spans="1:16">
      <c r="A42" s="79" t="s">
        <v>50</v>
      </c>
      <c r="B42" s="80"/>
      <c r="C42" s="80"/>
      <c r="D42" s="81">
        <v>30000</v>
      </c>
      <c r="F42" s="79" t="s">
        <v>49</v>
      </c>
      <c r="G42" s="80"/>
      <c r="H42" s="80"/>
      <c r="I42" s="80"/>
      <c r="J42" s="80"/>
      <c r="K42" s="80"/>
      <c r="L42" s="80" t="str">
        <f>+F45</f>
        <v>Total Initial setup cost</v>
      </c>
      <c r="M42" s="80"/>
      <c r="N42" s="80"/>
      <c r="O42" s="91">
        <f>+J45</f>
        <v>1530</v>
      </c>
      <c r="P42" s="92"/>
    </row>
    <row r="43" spans="1:16">
      <c r="A43" s="82" t="s">
        <v>48</v>
      </c>
      <c r="B43" s="83"/>
      <c r="C43" s="83"/>
      <c r="D43" s="84">
        <v>20</v>
      </c>
      <c r="F43" s="93" t="s">
        <v>68</v>
      </c>
      <c r="G43" s="80"/>
      <c r="H43" s="94"/>
      <c r="I43" s="80"/>
      <c r="J43" s="91">
        <f>+D47*D42/1000</f>
        <v>900</v>
      </c>
      <c r="K43" s="80"/>
      <c r="L43" s="80" t="str">
        <f>+$A$3</f>
        <v>Recovery multiple (1)</v>
      </c>
      <c r="M43" s="80"/>
      <c r="N43" s="80"/>
      <c r="O43" s="95">
        <f>+$D$3</f>
        <v>2</v>
      </c>
      <c r="P43" s="92"/>
    </row>
    <row r="44" spans="1:16">
      <c r="F44" s="93" t="s">
        <v>69</v>
      </c>
      <c r="G44" s="80"/>
      <c r="H44" s="94"/>
      <c r="I44" s="80"/>
      <c r="J44" s="96">
        <f>+D53*D48/1000</f>
        <v>630</v>
      </c>
      <c r="K44" s="80"/>
      <c r="L44" s="80" t="s">
        <v>64</v>
      </c>
      <c r="M44" s="80"/>
      <c r="N44" s="80"/>
      <c r="O44" s="80"/>
      <c r="P44" s="97">
        <f>+O42*O43</f>
        <v>3060</v>
      </c>
    </row>
    <row r="45" spans="1:16">
      <c r="A45" s="76" t="s">
        <v>59</v>
      </c>
      <c r="B45" s="77"/>
      <c r="C45" s="77"/>
      <c r="D45" s="78"/>
      <c r="F45" s="93" t="str">
        <f>"Total "&amp;$F$8</f>
        <v>Total Initial setup cost</v>
      </c>
      <c r="G45" s="80"/>
      <c r="H45" s="80"/>
      <c r="I45" s="80"/>
      <c r="J45" s="98">
        <f>SUM(J43:J44)</f>
        <v>1530</v>
      </c>
      <c r="K45" s="80"/>
      <c r="L45" s="80" t="str">
        <f>+F50</f>
        <v>Pre-revenue running cost</v>
      </c>
      <c r="M45" s="80"/>
      <c r="N45" s="80"/>
      <c r="O45" s="80"/>
      <c r="P45" s="99">
        <f>+J50</f>
        <v>1800</v>
      </c>
    </row>
    <row r="46" spans="1:16">
      <c r="A46" s="79" t="s">
        <v>9</v>
      </c>
      <c r="B46" s="80"/>
      <c r="C46" s="80"/>
      <c r="D46" s="129">
        <f>'Scenario Selector'!$G$8</f>
        <v>2</v>
      </c>
      <c r="F46" s="93"/>
      <c r="G46" s="80"/>
      <c r="H46" s="80"/>
      <c r="I46" s="80"/>
      <c r="J46" s="80"/>
      <c r="K46" s="80"/>
      <c r="L46" s="94" t="s">
        <v>55</v>
      </c>
      <c r="M46" s="80"/>
      <c r="N46" s="80"/>
      <c r="O46" s="80"/>
      <c r="P46" s="100">
        <f>+P44+P45</f>
        <v>4860</v>
      </c>
    </row>
    <row r="47" spans="1:16">
      <c r="A47" s="79" t="s">
        <v>10</v>
      </c>
      <c r="B47" s="80"/>
      <c r="C47" s="80"/>
      <c r="D47" s="85">
        <f>'Scenario Selector'!$G$9</f>
        <v>30</v>
      </c>
      <c r="F47" s="93"/>
      <c r="G47" s="80"/>
      <c r="H47" s="80"/>
      <c r="I47" s="80"/>
      <c r="J47" s="80"/>
      <c r="K47" s="80"/>
      <c r="L47" s="80"/>
      <c r="M47" s="80"/>
      <c r="N47" s="80"/>
      <c r="O47" s="80"/>
      <c r="P47" s="92"/>
    </row>
    <row r="48" spans="1:16">
      <c r="A48" s="79" t="s">
        <v>54</v>
      </c>
      <c r="B48" s="80"/>
      <c r="C48" s="80"/>
      <c r="D48" s="85">
        <f>'Scenario Selector'!$G$10</f>
        <v>21</v>
      </c>
      <c r="F48" s="79" t="s">
        <v>61</v>
      </c>
      <c r="G48" s="80"/>
      <c r="H48" s="80"/>
      <c r="I48" s="91">
        <f>+D42*D49/1000</f>
        <v>450</v>
      </c>
      <c r="J48" s="80"/>
      <c r="K48" s="80"/>
      <c r="L48" s="80"/>
      <c r="M48" s="80"/>
      <c r="N48" s="80"/>
      <c r="O48" s="80"/>
      <c r="P48" s="92"/>
    </row>
    <row r="49" spans="1:16">
      <c r="A49" s="79" t="s">
        <v>12</v>
      </c>
      <c r="B49" s="80"/>
      <c r="C49" s="80"/>
      <c r="D49" s="85">
        <f>'Scenario Selector'!$G$11</f>
        <v>15</v>
      </c>
      <c r="F49" s="79" t="s">
        <v>62</v>
      </c>
      <c r="G49" s="80"/>
      <c r="H49" s="80"/>
      <c r="I49" s="95">
        <f>+D51-1</f>
        <v>4</v>
      </c>
      <c r="J49" s="80"/>
      <c r="K49" s="80"/>
      <c r="L49" s="80" t="str">
        <f>+F49</f>
        <v>Pre-revenue years</v>
      </c>
      <c r="M49" s="80"/>
      <c r="N49" s="80"/>
      <c r="O49" s="101">
        <f>+I49</f>
        <v>4</v>
      </c>
      <c r="P49" s="92"/>
    </row>
    <row r="50" spans="1:16">
      <c r="A50" s="79" t="s">
        <v>13</v>
      </c>
      <c r="B50" s="80"/>
      <c r="C50" s="80"/>
      <c r="D50" s="86">
        <f>'Scenario Selector'!$G$12</f>
        <v>0.2</v>
      </c>
      <c r="F50" s="79" t="s">
        <v>51</v>
      </c>
      <c r="G50" s="80"/>
      <c r="H50" s="80"/>
      <c r="I50" s="80"/>
      <c r="J50" s="98">
        <f>+I48*I49</f>
        <v>1800</v>
      </c>
      <c r="K50" s="80"/>
      <c r="L50" s="80" t="s">
        <v>65</v>
      </c>
      <c r="M50" s="80"/>
      <c r="N50" s="80"/>
      <c r="O50" s="101">
        <f>+P46/J57</f>
        <v>9.5294117647058822</v>
      </c>
      <c r="P50" s="92"/>
    </row>
    <row r="51" spans="1:16">
      <c r="A51" s="82" t="s">
        <v>14</v>
      </c>
      <c r="B51" s="83"/>
      <c r="C51" s="83"/>
      <c r="D51" s="87">
        <f>'Scenario Selector'!$G$13</f>
        <v>5</v>
      </c>
      <c r="F51" s="93"/>
      <c r="G51" s="80"/>
      <c r="H51" s="80"/>
      <c r="I51" s="80"/>
      <c r="J51" s="80"/>
      <c r="K51" s="80"/>
      <c r="L51" s="94" t="s">
        <v>56</v>
      </c>
      <c r="M51" s="80"/>
      <c r="N51" s="80"/>
      <c r="O51" s="102">
        <f>IF(J57&lt;=0,"-",ROUNDUP(O49+O50,0))</f>
        <v>14</v>
      </c>
      <c r="P51" s="92"/>
    </row>
    <row r="52" spans="1:16">
      <c r="F52" s="93"/>
      <c r="G52" s="80"/>
      <c r="H52" s="80"/>
      <c r="I52" s="80"/>
      <c r="J52" s="80"/>
      <c r="K52" s="80"/>
      <c r="L52" s="94"/>
      <c r="M52" s="80"/>
      <c r="N52" s="80"/>
      <c r="O52" s="102"/>
      <c r="P52" s="92"/>
    </row>
    <row r="53" spans="1:16">
      <c r="A53" s="88" t="s">
        <v>73</v>
      </c>
      <c r="B53" s="89"/>
      <c r="C53" s="127"/>
      <c r="D53" s="90">
        <v>30000</v>
      </c>
      <c r="F53" s="79" t="s">
        <v>52</v>
      </c>
      <c r="G53" s="80"/>
      <c r="H53" s="80"/>
      <c r="I53" s="98">
        <f>D42*D46*D43/1000</f>
        <v>1200</v>
      </c>
      <c r="J53" s="80"/>
      <c r="K53" s="80"/>
      <c r="L53" s="94" t="s">
        <v>58</v>
      </c>
      <c r="M53" s="80"/>
      <c r="N53" s="80"/>
      <c r="O53" s="103">
        <v>14</v>
      </c>
      <c r="P53" s="92"/>
    </row>
    <row r="54" spans="1:16">
      <c r="F54" s="79" t="s">
        <v>66</v>
      </c>
      <c r="G54" s="80"/>
      <c r="H54" s="80"/>
      <c r="I54" s="104">
        <f>1-D50</f>
        <v>0.8</v>
      </c>
      <c r="J54" s="80"/>
      <c r="K54" s="80"/>
      <c r="L54" s="94" t="s">
        <v>57</v>
      </c>
      <c r="M54" s="80"/>
      <c r="N54" s="80"/>
      <c r="O54" s="105">
        <f>IF(ISNUMBER(O51),O51-O53,"n/a")</f>
        <v>0</v>
      </c>
      <c r="P54" s="92"/>
    </row>
    <row r="55" spans="1:16">
      <c r="F55" s="79" t="s">
        <v>63</v>
      </c>
      <c r="G55" s="80"/>
      <c r="H55" s="80"/>
      <c r="I55" s="80"/>
      <c r="J55" s="98">
        <f>+I53*I54</f>
        <v>960</v>
      </c>
      <c r="K55" s="80"/>
      <c r="L55" s="80"/>
      <c r="M55" s="80"/>
      <c r="N55" s="80"/>
      <c r="O55" s="80"/>
      <c r="P55" s="92"/>
    </row>
    <row r="56" spans="1:16">
      <c r="F56" s="93" t="str">
        <f>+F48</f>
        <v>Running cost/year</v>
      </c>
      <c r="G56" s="80"/>
      <c r="H56" s="80"/>
      <c r="I56" s="80"/>
      <c r="J56" s="74">
        <f>+I48</f>
        <v>450</v>
      </c>
      <c r="K56" s="80"/>
      <c r="L56" s="80"/>
      <c r="M56" s="80"/>
      <c r="N56" s="80"/>
      <c r="O56" s="80"/>
      <c r="P56" s="92"/>
    </row>
    <row r="57" spans="1:16">
      <c r="F57" s="82" t="s">
        <v>53</v>
      </c>
      <c r="G57" s="83"/>
      <c r="H57" s="83"/>
      <c r="I57" s="83"/>
      <c r="J57" s="106">
        <f>+J55-J56</f>
        <v>510</v>
      </c>
      <c r="K57" s="83"/>
      <c r="L57" s="83"/>
      <c r="M57" s="83"/>
      <c r="N57" s="83"/>
      <c r="O57" s="83"/>
      <c r="P57" s="107"/>
    </row>
    <row r="59" spans="1:16">
      <c r="F59" s="75">
        <f>O51</f>
        <v>14</v>
      </c>
      <c r="G59" s="111">
        <v>3000</v>
      </c>
      <c r="H59" s="111">
        <f>+I59-7500</f>
        <v>7500</v>
      </c>
      <c r="I59" s="111">
        <f>+J59-7500</f>
        <v>15000</v>
      </c>
      <c r="J59" s="111">
        <f>+K59-7500</f>
        <v>22500</v>
      </c>
      <c r="K59" s="111">
        <v>30000</v>
      </c>
      <c r="L59" s="111">
        <f>+K59+7500</f>
        <v>37500</v>
      </c>
      <c r="M59" s="111">
        <f>+L59+7500</f>
        <v>45000</v>
      </c>
      <c r="N59" s="111">
        <f>+M59+7500</f>
        <v>52500</v>
      </c>
      <c r="O59" s="111">
        <f>+N59+7500</f>
        <v>60000</v>
      </c>
    </row>
    <row r="60" spans="1:16">
      <c r="F60" s="73">
        <v>2</v>
      </c>
      <c r="G60" s="112" t="str">
        <f t="dataTable" ref="G60:O68" dt2D="1" dtr="1" r1="D42" r2="D43"/>
        <v>-</v>
      </c>
      <c r="H60" s="112" t="str">
        <v>-</v>
      </c>
      <c r="I60" s="112" t="str">
        <v>-</v>
      </c>
      <c r="J60" s="112" t="str">
        <v>-</v>
      </c>
      <c r="K60" s="112" t="str">
        <v>-</v>
      </c>
      <c r="L60" s="112" t="str">
        <v>-</v>
      </c>
      <c r="M60" s="112" t="str">
        <v>-</v>
      </c>
      <c r="N60" s="112" t="str">
        <v>-</v>
      </c>
      <c r="O60" s="112" t="str">
        <v>-</v>
      </c>
    </row>
    <row r="61" spans="1:16" ht="15" thickBot="1">
      <c r="F61" s="73">
        <v>5</v>
      </c>
      <c r="G61" s="112" t="str">
        <v>-</v>
      </c>
      <c r="H61" s="112" t="str">
        <v>-</v>
      </c>
      <c r="I61" s="113" t="str">
        <v>-</v>
      </c>
      <c r="J61" s="113" t="str">
        <v>-</v>
      </c>
      <c r="K61" s="113" t="str">
        <v>-</v>
      </c>
      <c r="L61" s="113" t="str">
        <v>-</v>
      </c>
      <c r="M61" s="113" t="str">
        <v>-</v>
      </c>
      <c r="N61" s="112" t="str">
        <v>-</v>
      </c>
      <c r="O61" s="112" t="str">
        <v>-</v>
      </c>
    </row>
    <row r="62" spans="1:16" ht="15" thickTop="1">
      <c r="F62" s="73">
        <v>10</v>
      </c>
      <c r="G62" s="112">
        <v>544</v>
      </c>
      <c r="H62" s="114">
        <v>292</v>
      </c>
      <c r="I62" s="115">
        <v>208</v>
      </c>
      <c r="J62" s="116">
        <v>180</v>
      </c>
      <c r="K62" s="116">
        <v>166</v>
      </c>
      <c r="L62" s="116">
        <v>158</v>
      </c>
      <c r="M62" s="117">
        <v>152</v>
      </c>
      <c r="N62" s="118">
        <v>148</v>
      </c>
      <c r="O62" s="112">
        <v>145</v>
      </c>
    </row>
    <row r="63" spans="1:16" ht="15" thickBot="1">
      <c r="F63" s="73">
        <v>15</v>
      </c>
      <c r="G63" s="112">
        <v>64</v>
      </c>
      <c r="H63" s="114">
        <v>36</v>
      </c>
      <c r="I63" s="119">
        <v>27</v>
      </c>
      <c r="J63" s="112">
        <v>24</v>
      </c>
      <c r="K63" s="113">
        <v>22</v>
      </c>
      <c r="L63" s="112">
        <v>22</v>
      </c>
      <c r="M63" s="120">
        <v>21</v>
      </c>
      <c r="N63" s="118">
        <v>20</v>
      </c>
      <c r="O63" s="112">
        <v>20</v>
      </c>
    </row>
    <row r="64" spans="1:16" ht="15.5" thickTop="1" thickBot="1">
      <c r="F64" s="73">
        <v>20</v>
      </c>
      <c r="G64" s="112">
        <v>36</v>
      </c>
      <c r="H64" s="114">
        <v>21</v>
      </c>
      <c r="I64" s="119">
        <v>16</v>
      </c>
      <c r="J64" s="114">
        <v>15</v>
      </c>
      <c r="K64" s="121">
        <v>14</v>
      </c>
      <c r="L64" s="118">
        <v>14</v>
      </c>
      <c r="M64" s="120">
        <v>13</v>
      </c>
      <c r="N64" s="118">
        <v>13</v>
      </c>
      <c r="O64" s="112">
        <v>13</v>
      </c>
    </row>
    <row r="65" spans="1:16" ht="15" thickTop="1">
      <c r="F65" s="73">
        <v>25</v>
      </c>
      <c r="G65" s="112">
        <v>26</v>
      </c>
      <c r="H65" s="114">
        <v>16</v>
      </c>
      <c r="I65" s="119">
        <v>13</v>
      </c>
      <c r="J65" s="112">
        <v>12</v>
      </c>
      <c r="K65" s="122">
        <v>11</v>
      </c>
      <c r="L65" s="112">
        <v>11</v>
      </c>
      <c r="M65" s="120">
        <v>10</v>
      </c>
      <c r="N65" s="118">
        <v>10</v>
      </c>
      <c r="O65" s="112">
        <v>10</v>
      </c>
    </row>
    <row r="66" spans="1:16" ht="15" thickBot="1">
      <c r="F66" s="73">
        <v>30</v>
      </c>
      <c r="G66" s="112">
        <v>21</v>
      </c>
      <c r="H66" s="114">
        <v>13</v>
      </c>
      <c r="I66" s="123">
        <v>11</v>
      </c>
      <c r="J66" s="124">
        <v>10</v>
      </c>
      <c r="K66" s="124">
        <v>9</v>
      </c>
      <c r="L66" s="124">
        <v>9</v>
      </c>
      <c r="M66" s="125">
        <v>9</v>
      </c>
      <c r="N66" s="118">
        <v>9</v>
      </c>
      <c r="O66" s="112">
        <v>9</v>
      </c>
    </row>
    <row r="67" spans="1:16" ht="15" thickTop="1">
      <c r="F67" s="73">
        <v>35</v>
      </c>
      <c r="G67" s="112">
        <v>18</v>
      </c>
      <c r="H67" s="112">
        <v>12</v>
      </c>
      <c r="I67" s="122">
        <v>9</v>
      </c>
      <c r="J67" s="122">
        <v>9</v>
      </c>
      <c r="K67" s="122">
        <v>8</v>
      </c>
      <c r="L67" s="122">
        <v>8</v>
      </c>
      <c r="M67" s="122">
        <v>8</v>
      </c>
      <c r="N67" s="112">
        <v>8</v>
      </c>
      <c r="O67" s="112">
        <v>8</v>
      </c>
    </row>
    <row r="68" spans="1:16">
      <c r="F68" s="73">
        <v>40</v>
      </c>
      <c r="G68" s="112">
        <v>16</v>
      </c>
      <c r="H68" s="112">
        <v>10</v>
      </c>
      <c r="I68" s="112">
        <v>9</v>
      </c>
      <c r="J68" s="112">
        <v>8</v>
      </c>
      <c r="K68" s="112">
        <v>8</v>
      </c>
      <c r="L68" s="112">
        <v>8</v>
      </c>
      <c r="M68" s="112">
        <v>8</v>
      </c>
      <c r="N68" s="112">
        <v>7</v>
      </c>
      <c r="O68" s="112">
        <v>7</v>
      </c>
    </row>
    <row r="69" spans="1:16">
      <c r="A69" s="126"/>
    </row>
    <row r="71" spans="1:16">
      <c r="A71" s="126">
        <v>-1</v>
      </c>
      <c r="B71" s="53" t="s">
        <v>67</v>
      </c>
    </row>
    <row r="72" spans="1:16">
      <c r="A72" s="126">
        <f>+A71-1</f>
        <v>-2</v>
      </c>
      <c r="B72" s="53" t="s">
        <v>71</v>
      </c>
    </row>
    <row r="73" spans="1:16">
      <c r="A73" s="108" t="str">
        <f>+'Scenario Selector'!$H$5</f>
        <v>Vanilla</v>
      </c>
      <c r="B73" s="109"/>
      <c r="C73" s="109"/>
      <c r="D73" s="109"/>
      <c r="E73" s="109"/>
      <c r="F73" s="109"/>
      <c r="G73" s="109"/>
      <c r="H73" s="110"/>
      <c r="I73" s="110"/>
      <c r="J73" s="110"/>
      <c r="K73" s="110"/>
      <c r="L73" s="110"/>
      <c r="M73" s="110"/>
      <c r="N73" s="110"/>
      <c r="O73" s="110"/>
      <c r="P73" s="110"/>
    </row>
    <row r="74" spans="1:16">
      <c r="A74" s="70"/>
      <c r="B74" s="62"/>
      <c r="C74" s="62"/>
      <c r="D74" s="62"/>
      <c r="E74" s="62"/>
      <c r="F74" s="62"/>
      <c r="G74" s="62"/>
    </row>
    <row r="75" spans="1:16">
      <c r="A75" s="76" t="s">
        <v>60</v>
      </c>
      <c r="B75" s="77"/>
      <c r="C75" s="77"/>
      <c r="D75" s="78"/>
      <c r="F75" s="76" t="s">
        <v>70</v>
      </c>
      <c r="G75" s="77"/>
      <c r="H75" s="77"/>
      <c r="I75" s="77"/>
      <c r="J75" s="77"/>
      <c r="K75" s="77"/>
      <c r="L75" s="77"/>
      <c r="M75" s="77"/>
      <c r="N75" s="77"/>
      <c r="O75" s="77"/>
      <c r="P75" s="78"/>
    </row>
    <row r="76" spans="1:16">
      <c r="A76" s="79" t="s">
        <v>50</v>
      </c>
      <c r="B76" s="80"/>
      <c r="C76" s="80"/>
      <c r="D76" s="81">
        <v>10000</v>
      </c>
      <c r="F76" s="79" t="s">
        <v>49</v>
      </c>
      <c r="G76" s="80"/>
      <c r="H76" s="80"/>
      <c r="I76" s="80"/>
      <c r="J76" s="80"/>
      <c r="K76" s="80"/>
      <c r="L76" s="80" t="str">
        <f>+F79</f>
        <v>Total Initial setup cost</v>
      </c>
      <c r="M76" s="80"/>
      <c r="N76" s="80"/>
      <c r="O76" s="91">
        <f>+J79</f>
        <v>4220</v>
      </c>
      <c r="P76" s="92"/>
    </row>
    <row r="77" spans="1:16">
      <c r="A77" s="82" t="s">
        <v>48</v>
      </c>
      <c r="B77" s="83"/>
      <c r="C77" s="83"/>
      <c r="D77" s="84">
        <v>20</v>
      </c>
      <c r="F77" s="93" t="s">
        <v>68</v>
      </c>
      <c r="G77" s="80"/>
      <c r="H77" s="94"/>
      <c r="I77" s="80"/>
      <c r="J77" s="91">
        <f>+D81*D76/1000</f>
        <v>4000</v>
      </c>
      <c r="K77" s="80"/>
      <c r="L77" s="80" t="str">
        <f>+$A$3</f>
        <v>Recovery multiple (1)</v>
      </c>
      <c r="M77" s="80"/>
      <c r="N77" s="80"/>
      <c r="O77" s="95">
        <f>+$D$3</f>
        <v>2</v>
      </c>
      <c r="P77" s="92"/>
    </row>
    <row r="78" spans="1:16">
      <c r="F78" s="93" t="s">
        <v>69</v>
      </c>
      <c r="G78" s="80"/>
      <c r="H78" s="94"/>
      <c r="I78" s="80"/>
      <c r="J78" s="96">
        <f>+D87*D82/1000</f>
        <v>220</v>
      </c>
      <c r="K78" s="80"/>
      <c r="L78" s="80" t="s">
        <v>64</v>
      </c>
      <c r="M78" s="80"/>
      <c r="N78" s="80"/>
      <c r="O78" s="80"/>
      <c r="P78" s="97">
        <f>+O76*O77</f>
        <v>8440</v>
      </c>
    </row>
    <row r="79" spans="1:16">
      <c r="A79" s="76" t="s">
        <v>59</v>
      </c>
      <c r="B79" s="77"/>
      <c r="C79" s="77"/>
      <c r="D79" s="78"/>
      <c r="F79" s="93" t="str">
        <f>"Total "&amp;$F$8</f>
        <v>Total Initial setup cost</v>
      </c>
      <c r="G79" s="80"/>
      <c r="H79" s="80"/>
      <c r="I79" s="80"/>
      <c r="J79" s="98">
        <f>SUM(J77:J78)</f>
        <v>4220</v>
      </c>
      <c r="K79" s="80"/>
      <c r="L79" s="80" t="str">
        <f>+F84</f>
        <v>Pre-revenue running cost</v>
      </c>
      <c r="M79" s="80"/>
      <c r="N79" s="80"/>
      <c r="O79" s="80"/>
      <c r="P79" s="99">
        <f>+J84</f>
        <v>200</v>
      </c>
    </row>
    <row r="80" spans="1:16">
      <c r="A80" s="79" t="s">
        <v>9</v>
      </c>
      <c r="B80" s="80"/>
      <c r="C80" s="80"/>
      <c r="D80" s="129">
        <f>'Scenario Selector'!$H$8</f>
        <v>7.5</v>
      </c>
      <c r="F80" s="93"/>
      <c r="G80" s="80"/>
      <c r="H80" s="80"/>
      <c r="I80" s="80"/>
      <c r="J80" s="80"/>
      <c r="K80" s="80"/>
      <c r="L80" s="94" t="s">
        <v>55</v>
      </c>
      <c r="M80" s="80"/>
      <c r="N80" s="80"/>
      <c r="O80" s="80"/>
      <c r="P80" s="100">
        <f>+P78+P79</f>
        <v>8640</v>
      </c>
    </row>
    <row r="81" spans="1:16">
      <c r="A81" s="79" t="s">
        <v>10</v>
      </c>
      <c r="B81" s="80"/>
      <c r="C81" s="80"/>
      <c r="D81" s="85">
        <f>'Scenario Selector'!$H$9</f>
        <v>400</v>
      </c>
      <c r="F81" s="93"/>
      <c r="G81" s="80"/>
      <c r="H81" s="80"/>
      <c r="I81" s="80"/>
      <c r="J81" s="80"/>
      <c r="K81" s="80"/>
      <c r="L81" s="80"/>
      <c r="M81" s="80"/>
      <c r="N81" s="80"/>
      <c r="O81" s="80"/>
      <c r="P81" s="92"/>
    </row>
    <row r="82" spans="1:16">
      <c r="A82" s="79" t="s">
        <v>54</v>
      </c>
      <c r="B82" s="80"/>
      <c r="C82" s="80"/>
      <c r="D82" s="85">
        <f>'Scenario Selector'!$H$10</f>
        <v>22</v>
      </c>
      <c r="F82" s="79" t="s">
        <v>61</v>
      </c>
      <c r="G82" s="80"/>
      <c r="H82" s="80"/>
      <c r="I82" s="91">
        <f>+D76*D83/1000</f>
        <v>50</v>
      </c>
      <c r="J82" s="80"/>
      <c r="K82" s="80"/>
      <c r="L82" s="80"/>
      <c r="M82" s="80"/>
      <c r="N82" s="80"/>
      <c r="O82" s="80"/>
      <c r="P82" s="92"/>
    </row>
    <row r="83" spans="1:16">
      <c r="A83" s="79" t="s">
        <v>12</v>
      </c>
      <c r="B83" s="80"/>
      <c r="C83" s="80"/>
      <c r="D83" s="85">
        <f>'Scenario Selector'!$H$11</f>
        <v>5</v>
      </c>
      <c r="F83" s="79" t="s">
        <v>62</v>
      </c>
      <c r="G83" s="80"/>
      <c r="H83" s="80"/>
      <c r="I83" s="95">
        <f>+D85-1</f>
        <v>4</v>
      </c>
      <c r="J83" s="80"/>
      <c r="K83" s="80"/>
      <c r="L83" s="80" t="str">
        <f>+F83</f>
        <v>Pre-revenue years</v>
      </c>
      <c r="M83" s="80"/>
      <c r="N83" s="80"/>
      <c r="O83" s="101">
        <f>+I83</f>
        <v>4</v>
      </c>
      <c r="P83" s="92"/>
    </row>
    <row r="84" spans="1:16">
      <c r="A84" s="79" t="s">
        <v>13</v>
      </c>
      <c r="B84" s="80"/>
      <c r="C84" s="80"/>
      <c r="D84" s="86">
        <f>'Scenario Selector'!$H$12</f>
        <v>0.2</v>
      </c>
      <c r="F84" s="79" t="s">
        <v>51</v>
      </c>
      <c r="G84" s="80"/>
      <c r="H84" s="80"/>
      <c r="I84" s="80"/>
      <c r="J84" s="98">
        <f>+I82*I83</f>
        <v>200</v>
      </c>
      <c r="K84" s="80"/>
      <c r="L84" s="80" t="s">
        <v>65</v>
      </c>
      <c r="M84" s="80"/>
      <c r="N84" s="80"/>
      <c r="O84" s="101">
        <f>+P80/J91</f>
        <v>7.5130434782608697</v>
      </c>
      <c r="P84" s="92"/>
    </row>
    <row r="85" spans="1:16">
      <c r="A85" s="82" t="s">
        <v>14</v>
      </c>
      <c r="B85" s="83"/>
      <c r="C85" s="83"/>
      <c r="D85" s="87">
        <f>'Scenario Selector'!$H$13</f>
        <v>5</v>
      </c>
      <c r="F85" s="93"/>
      <c r="G85" s="80"/>
      <c r="H85" s="80"/>
      <c r="I85" s="80"/>
      <c r="J85" s="80"/>
      <c r="K85" s="80"/>
      <c r="L85" s="94" t="s">
        <v>56</v>
      </c>
      <c r="M85" s="80"/>
      <c r="N85" s="80"/>
      <c r="O85" s="102">
        <f>IF(J91&lt;=0,"-",ROUNDUP(O83+O84,0))</f>
        <v>12</v>
      </c>
      <c r="P85" s="92"/>
    </row>
    <row r="86" spans="1:16">
      <c r="F86" s="93"/>
      <c r="G86" s="80"/>
      <c r="H86" s="80"/>
      <c r="I86" s="80"/>
      <c r="J86" s="80"/>
      <c r="K86" s="80"/>
      <c r="L86" s="94"/>
      <c r="M86" s="80"/>
      <c r="N86" s="80"/>
      <c r="O86" s="102"/>
      <c r="P86" s="92"/>
    </row>
    <row r="87" spans="1:16">
      <c r="A87" s="88" t="s">
        <v>73</v>
      </c>
      <c r="B87" s="89"/>
      <c r="C87" s="127"/>
      <c r="D87" s="90">
        <v>10000</v>
      </c>
      <c r="F87" s="79" t="s">
        <v>52</v>
      </c>
      <c r="G87" s="80"/>
      <c r="H87" s="80"/>
      <c r="I87" s="98">
        <f>D76*D80*D77/1000</f>
        <v>1500</v>
      </c>
      <c r="J87" s="80"/>
      <c r="K87" s="80"/>
      <c r="L87" s="94" t="s">
        <v>58</v>
      </c>
      <c r="M87" s="80"/>
      <c r="N87" s="80"/>
      <c r="O87" s="103">
        <v>16</v>
      </c>
      <c r="P87" s="92"/>
    </row>
    <row r="88" spans="1:16">
      <c r="F88" s="79" t="s">
        <v>66</v>
      </c>
      <c r="G88" s="80"/>
      <c r="H88" s="80"/>
      <c r="I88" s="104">
        <f>1-D84</f>
        <v>0.8</v>
      </c>
      <c r="J88" s="80"/>
      <c r="K88" s="80"/>
      <c r="L88" s="94" t="s">
        <v>57</v>
      </c>
      <c r="M88" s="80"/>
      <c r="N88" s="80"/>
      <c r="O88" s="105">
        <f>IF(ISNUMBER(O85),O85-O87,"n/a")</f>
        <v>-4</v>
      </c>
      <c r="P88" s="92"/>
    </row>
    <row r="89" spans="1:16">
      <c r="F89" s="79" t="s">
        <v>63</v>
      </c>
      <c r="G89" s="80"/>
      <c r="H89" s="80"/>
      <c r="I89" s="80"/>
      <c r="J89" s="98">
        <f>+I87*I88</f>
        <v>1200</v>
      </c>
      <c r="K89" s="80"/>
      <c r="L89" s="80"/>
      <c r="M89" s="80"/>
      <c r="N89" s="80"/>
      <c r="O89" s="80"/>
      <c r="P89" s="92"/>
    </row>
    <row r="90" spans="1:16">
      <c r="F90" s="93" t="str">
        <f>+F82</f>
        <v>Running cost/year</v>
      </c>
      <c r="G90" s="80"/>
      <c r="H90" s="80"/>
      <c r="I90" s="80"/>
      <c r="J90" s="74">
        <f>+I82</f>
        <v>50</v>
      </c>
      <c r="K90" s="80"/>
      <c r="L90" s="80"/>
      <c r="M90" s="80"/>
      <c r="N90" s="80"/>
      <c r="O90" s="80"/>
      <c r="P90" s="92"/>
    </row>
    <row r="91" spans="1:16">
      <c r="F91" s="82" t="s">
        <v>53</v>
      </c>
      <c r="G91" s="83"/>
      <c r="H91" s="83"/>
      <c r="I91" s="83"/>
      <c r="J91" s="106">
        <f>+J89-J90</f>
        <v>1150</v>
      </c>
      <c r="K91" s="83"/>
      <c r="L91" s="83"/>
      <c r="M91" s="83"/>
      <c r="N91" s="83"/>
      <c r="O91" s="83"/>
      <c r="P91" s="107"/>
    </row>
    <row r="93" spans="1:16">
      <c r="F93" s="75">
        <f>O85</f>
        <v>12</v>
      </c>
      <c r="G93" s="111">
        <v>1000</v>
      </c>
      <c r="H93" s="111">
        <f>+I93-2500</f>
        <v>2500</v>
      </c>
      <c r="I93" s="111">
        <f>+J93-2500</f>
        <v>5000</v>
      </c>
      <c r="J93" s="111">
        <f>+K93-2500</f>
        <v>7500</v>
      </c>
      <c r="K93" s="111">
        <f>+D87</f>
        <v>10000</v>
      </c>
      <c r="L93" s="111">
        <f>+K93+2500</f>
        <v>12500</v>
      </c>
      <c r="M93" s="111">
        <f>+L93+2500</f>
        <v>15000</v>
      </c>
      <c r="N93" s="111">
        <f>+M93+2500</f>
        <v>17500</v>
      </c>
      <c r="O93" s="111">
        <f>+N93+2500</f>
        <v>20000</v>
      </c>
    </row>
    <row r="94" spans="1:16">
      <c r="F94" s="73">
        <v>2</v>
      </c>
      <c r="G94" s="112">
        <f t="dataTable" ref="G94:O102" dt2D="1" dtr="1" r1="D76" r2="D77"/>
        <v>184</v>
      </c>
      <c r="H94" s="112">
        <v>147</v>
      </c>
      <c r="I94" s="112">
        <v>134</v>
      </c>
      <c r="J94" s="112">
        <v>130</v>
      </c>
      <c r="K94" s="112">
        <v>128</v>
      </c>
      <c r="L94" s="112">
        <v>127</v>
      </c>
      <c r="M94" s="112">
        <v>126</v>
      </c>
      <c r="N94" s="112">
        <v>125</v>
      </c>
      <c r="O94" s="112">
        <v>125</v>
      </c>
    </row>
    <row r="95" spans="1:16" ht="15" thickBot="1">
      <c r="F95" s="73">
        <v>5</v>
      </c>
      <c r="G95" s="112">
        <v>55</v>
      </c>
      <c r="H95" s="112">
        <v>44</v>
      </c>
      <c r="I95" s="113">
        <v>41</v>
      </c>
      <c r="J95" s="113">
        <v>40</v>
      </c>
      <c r="K95" s="113">
        <v>39</v>
      </c>
      <c r="L95" s="113">
        <v>39</v>
      </c>
      <c r="M95" s="113">
        <v>38</v>
      </c>
      <c r="N95" s="112">
        <v>38</v>
      </c>
      <c r="O95" s="112">
        <v>38</v>
      </c>
    </row>
    <row r="96" spans="1:16" ht="15" thickTop="1">
      <c r="F96" s="73">
        <v>10</v>
      </c>
      <c r="G96" s="112">
        <v>27</v>
      </c>
      <c r="H96" s="114">
        <v>23</v>
      </c>
      <c r="I96" s="115">
        <v>21</v>
      </c>
      <c r="J96" s="116">
        <v>20</v>
      </c>
      <c r="K96" s="116">
        <v>20</v>
      </c>
      <c r="L96" s="116">
        <v>20</v>
      </c>
      <c r="M96" s="117">
        <v>20</v>
      </c>
      <c r="N96" s="118">
        <v>20</v>
      </c>
      <c r="O96" s="112">
        <v>20</v>
      </c>
    </row>
    <row r="97" spans="1:15" ht="15" thickBot="1">
      <c r="F97" s="73">
        <v>15</v>
      </c>
      <c r="G97" s="112">
        <v>19</v>
      </c>
      <c r="H97" s="114">
        <v>16</v>
      </c>
      <c r="I97" s="119">
        <v>15</v>
      </c>
      <c r="J97" s="112">
        <v>15</v>
      </c>
      <c r="K97" s="113">
        <v>15</v>
      </c>
      <c r="L97" s="112">
        <v>15</v>
      </c>
      <c r="M97" s="120">
        <v>14</v>
      </c>
      <c r="N97" s="118">
        <v>14</v>
      </c>
      <c r="O97" s="112">
        <v>14</v>
      </c>
    </row>
    <row r="98" spans="1:15" ht="15.5" thickTop="1" thickBot="1">
      <c r="F98" s="73">
        <v>20</v>
      </c>
      <c r="G98" s="112">
        <v>15</v>
      </c>
      <c r="H98" s="114">
        <v>13</v>
      </c>
      <c r="I98" s="119">
        <v>12</v>
      </c>
      <c r="J98" s="114">
        <v>12</v>
      </c>
      <c r="K98" s="121">
        <v>12</v>
      </c>
      <c r="L98" s="118">
        <v>12</v>
      </c>
      <c r="M98" s="120">
        <v>12</v>
      </c>
      <c r="N98" s="118">
        <v>12</v>
      </c>
      <c r="O98" s="112">
        <v>12</v>
      </c>
    </row>
    <row r="99" spans="1:15" ht="15" thickTop="1">
      <c r="F99" s="73">
        <v>25</v>
      </c>
      <c r="G99" s="112">
        <v>13</v>
      </c>
      <c r="H99" s="114">
        <v>11</v>
      </c>
      <c r="I99" s="119">
        <v>11</v>
      </c>
      <c r="J99" s="112">
        <v>11</v>
      </c>
      <c r="K99" s="122">
        <v>10</v>
      </c>
      <c r="L99" s="112">
        <v>10</v>
      </c>
      <c r="M99" s="120">
        <v>10</v>
      </c>
      <c r="N99" s="118">
        <v>10</v>
      </c>
      <c r="O99" s="112">
        <v>10</v>
      </c>
    </row>
    <row r="100" spans="1:15" ht="15" thickBot="1">
      <c r="F100" s="73">
        <v>30</v>
      </c>
      <c r="G100" s="112">
        <v>12</v>
      </c>
      <c r="H100" s="114">
        <v>10</v>
      </c>
      <c r="I100" s="123">
        <v>10</v>
      </c>
      <c r="J100" s="124">
        <v>10</v>
      </c>
      <c r="K100" s="124">
        <v>9</v>
      </c>
      <c r="L100" s="124">
        <v>9</v>
      </c>
      <c r="M100" s="125">
        <v>9</v>
      </c>
      <c r="N100" s="118">
        <v>9</v>
      </c>
      <c r="O100" s="112">
        <v>9</v>
      </c>
    </row>
    <row r="101" spans="1:15" ht="15" thickTop="1">
      <c r="F101" s="73">
        <v>35</v>
      </c>
      <c r="G101" s="112">
        <v>11</v>
      </c>
      <c r="H101" s="112">
        <v>9</v>
      </c>
      <c r="I101" s="122">
        <v>9</v>
      </c>
      <c r="J101" s="122">
        <v>9</v>
      </c>
      <c r="K101" s="122">
        <v>9</v>
      </c>
      <c r="L101" s="122">
        <v>9</v>
      </c>
      <c r="M101" s="122">
        <v>9</v>
      </c>
      <c r="N101" s="112">
        <v>9</v>
      </c>
      <c r="O101" s="112">
        <v>9</v>
      </c>
    </row>
    <row r="102" spans="1:15">
      <c r="F102" s="73">
        <v>40</v>
      </c>
      <c r="G102" s="112">
        <v>10</v>
      </c>
      <c r="H102" s="112">
        <v>9</v>
      </c>
      <c r="I102" s="112">
        <v>8</v>
      </c>
      <c r="J102" s="112">
        <v>8</v>
      </c>
      <c r="K102" s="112">
        <v>8</v>
      </c>
      <c r="L102" s="112">
        <v>8</v>
      </c>
      <c r="M102" s="112">
        <v>8</v>
      </c>
      <c r="N102" s="112">
        <v>8</v>
      </c>
      <c r="O102" s="112">
        <v>8</v>
      </c>
    </row>
    <row r="103" spans="1:15">
      <c r="A103" s="126"/>
    </row>
    <row r="105" spans="1:15">
      <c r="A105" s="126">
        <v>-1</v>
      </c>
      <c r="B105" s="53" t="s">
        <v>67</v>
      </c>
    </row>
    <row r="106" spans="1:15">
      <c r="A106" s="126">
        <f>+A105-1</f>
        <v>-2</v>
      </c>
      <c r="B106" s="53" t="s">
        <v>71</v>
      </c>
    </row>
  </sheetData>
  <conditionalFormatting sqref="G26:O34">
    <cfRule type="expression" dxfId="11" priority="9">
      <formula>AND(ISNUMBER(G26),G26&gt;=31)</formula>
    </cfRule>
    <cfRule type="expression" dxfId="10" priority="10">
      <formula>AND(ISNUMBER(G26),G26&gt;=21,G26&lt;=30)</formula>
    </cfRule>
    <cfRule type="expression" dxfId="9" priority="11">
      <formula>AND(ISNUMBER(G26),G26&gt;=11,G26&lt;=20)</formula>
    </cfRule>
    <cfRule type="expression" dxfId="8" priority="12">
      <formula>AND(ISNUMBER(G26),G26&gt;=6,G26&lt;=10)</formula>
    </cfRule>
  </conditionalFormatting>
  <conditionalFormatting sqref="G60:O68">
    <cfRule type="expression" dxfId="7" priority="5">
      <formula>AND(ISNUMBER(G60),G60&gt;=31)</formula>
    </cfRule>
    <cfRule type="expression" dxfId="6" priority="6">
      <formula>AND(ISNUMBER(G60),G60&gt;=21,G60&lt;=30)</formula>
    </cfRule>
    <cfRule type="expression" dxfId="5" priority="7">
      <formula>AND(ISNUMBER(G60),G60&gt;=11,G60&lt;=20)</formula>
    </cfRule>
    <cfRule type="expression" dxfId="4" priority="8">
      <formula>AND(ISNUMBER(G60),G60&gt;=6,G60&lt;=10)</formula>
    </cfRule>
  </conditionalFormatting>
  <conditionalFormatting sqref="G94:O102">
    <cfRule type="expression" dxfId="3" priority="1">
      <formula>AND(ISNUMBER(G94),G94&gt;=31)</formula>
    </cfRule>
    <cfRule type="expression" dxfId="2" priority="2">
      <formula>AND(ISNUMBER(G94),G94&gt;=21,G94&lt;=30)</formula>
    </cfRule>
    <cfRule type="expression" dxfId="1" priority="3">
      <formula>AND(ISNUMBER(G94),G94&gt;=11,G94&lt;=20)</formula>
    </cfRule>
    <cfRule type="expression" dxfId="0" priority="4">
      <formula>AND(ISNUMBER(G94),G94&gt;=6,G94&lt;=10)</formula>
    </cfRule>
  </conditionalFormatting>
  <pageMargins left="0.7" right="0.7" top="0.75" bottom="0.75" header="0.3" footer="0.3"/>
  <pageSetup scale="92" orientation="landscape" horizontalDpi="0" verticalDpi="0" r:id="rId1"/>
  <headerFooter>
    <oddHeader>&amp;L&amp;8&amp;A&amp;R&amp;8&amp;D</oddHeader>
    <oddFooter>&amp;L&amp;8&amp;Z&amp;F&amp;R&amp;8Page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Scenario Selector</vt:lpstr>
      <vt:lpstr>Scenario Comparison</vt:lpstr>
      <vt:lpstr>Payback Sensitivity</vt:lpstr>
      <vt:lpstr>'Payback Sensitivity'!Print_Area</vt:lpstr>
      <vt:lpstr>'Payback Sensitivity'!Print_Titles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Songbae</cp:lastModifiedBy>
  <cp:lastPrinted>2026-06-16T02:34:22Z</cp:lastPrinted>
  <dcterms:created xsi:type="dcterms:W3CDTF">2026-06-15T14:56:18Z</dcterms:created>
  <dcterms:modified xsi:type="dcterms:W3CDTF">2026-06-16T02:39:59Z</dcterms:modified>
</cp:coreProperties>
</file>